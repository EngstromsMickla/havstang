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13_ncr:1_{0D12D461-74BB-4166-88F3-18464BF9CC1D}" xr6:coauthVersionLast="47" xr6:coauthVersionMax="47" xr10:uidLastSave="{00000000-0000-0000-0000-000000000000}"/>
  <bookViews>
    <workbookView xWindow="602" yWindow="258" windowWidth="19418" windowHeight="10435" xr2:uid="{00000000-000D-0000-FFFF-FFFF00000000}"/>
  </bookViews>
  <sheets>
    <sheet name="Logg" sheetId="1" r:id="rId1"/>
    <sheet name="Översikt" sheetId="2" r:id="rId2"/>
    <sheet name="Så använder vi loggen" sheetId="3" r:id="rId3"/>
  </sheets>
  <definedNames>
    <definedName name="_xlnm._FilterDatabase" localSheetId="0" hidden="1">Logg!$A$4:$O$60</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 i="2" l="1" a="1"/>
  <c r="E7" i="2" s="1"/>
  <c r="D7" i="2" a="1"/>
  <c r="D7" i="2" s="1"/>
  <c r="C7" i="2" a="1"/>
  <c r="C7" i="2" s="1"/>
  <c r="B7" i="2" a="1"/>
  <c r="B7" i="2" s="1"/>
  <c r="E6" i="2" a="1"/>
  <c r="E6" i="2" s="1"/>
  <c r="D6" i="2" a="1"/>
  <c r="D6" i="2" s="1"/>
  <c r="C6" i="2" a="1"/>
  <c r="C6" i="2"/>
  <c r="B6" i="2" a="1"/>
  <c r="B6" i="2" s="1"/>
  <c r="E5" i="2" a="1"/>
  <c r="E5" i="2" s="1"/>
  <c r="D5" i="2" a="1"/>
  <c r="D5" i="2" s="1"/>
  <c r="C5" i="2" a="1"/>
  <c r="C5" i="2" s="1"/>
  <c r="B5" i="2" a="1"/>
  <c r="B5" i="2" s="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alcChain>
</file>

<file path=xl/sharedStrings.xml><?xml version="1.0" encoding="utf-8"?>
<sst xmlns="http://schemas.openxmlformats.org/spreadsheetml/2006/main" count="325" uniqueCount="200">
  <si>
    <t>Testa själv: logg över hävstångspunkter och möjlighetsfönster, inspel från rapporter och styrdokument på shiftsweden.se 2026-10-26 och från skriften Systemperspektiv för samhällstransformation av IQ Samhällsbyggnads expertråd för strategi</t>
  </si>
  <si>
    <t>En rad per hävstångspunkt. Fyll i det gula, låt Förslag räkna, och välj Gruppens val tillsammans på mötet. Översikten ligger på fliken Översikt. Filtrera gärna, sortera fritt.</t>
  </si>
  <si>
    <t>Nr</t>
  </si>
  <si>
    <t>Hävstångspunkt</t>
  </si>
  <si>
    <t>Låset (en mening)</t>
  </si>
  <si>
    <t>Vem kan agera</t>
  </si>
  <si>
    <t>Skifte</t>
  </si>
  <si>
    <t>Hävstång</t>
  </si>
  <si>
    <t>Räckvidd</t>
  </si>
  <si>
    <t>Fönster: vad öppnar sig?</t>
  </si>
  <si>
    <t>Fönster nu?</t>
  </si>
  <si>
    <t>Förslag</t>
  </si>
  <si>
    <t>Gruppens val</t>
  </si>
  <si>
    <t>Nästa steg och ansvarig</t>
  </si>
  <si>
    <t>Lärdom efter cykeln</t>
  </si>
  <si>
    <t>Källa</t>
  </si>
  <si>
    <t>Uppdaterad</t>
  </si>
  <si>
    <t>HP-001</t>
  </si>
  <si>
    <t>Lärande stannar i enskilda projekt</t>
  </si>
  <si>
    <t>Många initiativ men lärandet sprids inte; mellanrummen mellan aktörer saknar ägare.</t>
  </si>
  <si>
    <t>Göteborgs stad, Skiftmakarna, programkontoret.</t>
  </si>
  <si>
    <t>Tvärgående</t>
  </si>
  <si>
    <t>Hög</t>
  </si>
  <si>
    <t>Omställningslabb i Göteborg pågår (8 Formas-projekt från maj 2026). Ingen beslutspunkt för vem som äger lärandet. Säkerhet: medel.</t>
  </si>
  <si>
    <t>Öppet nu</t>
  </si>
  <si>
    <t>Ställ om Sverige
Fönsterkälla: goteborgsbyggnyheter.se/20260504/28109; vinnova.se/p/framtidsforvaltning</t>
  </si>
  <si>
    <t>2026-10-02</t>
  </si>
  <si>
    <t>HP-002</t>
  </si>
  <si>
    <t>Självkörande fordon och den bilanpassade staden</t>
  </si>
  <si>
    <t>Utan styrning ger tekniken mer trafik och konkurrerar ut kollektivtrafik, gång och cykel.</t>
  </si>
  <si>
    <t>Malmö stad (planmyndighet), SLU, LTH.</t>
  </si>
  <si>
    <t>2 Ny frihetsreform för resande</t>
  </si>
  <si>
    <t>Medel</t>
  </si>
  <si>
    <t>Lorensborg planprogram: samrådet stängde 30 sep 2026, antagande följer. Lag för automatiserade fordon saknas. Säkerhet: medel.</t>
  </si>
  <si>
    <t>Snart</t>
  </si>
  <si>
    <t>Ställ om Sverige
Fönsterkälla: malmo.se/Stadsutveckling/Stadsutvecklingsomraden/Lorensborg-och-Bellevuegarden.html; transportstyrelsen.se (utredningsuppdrag trafikregleringsmodell)</t>
  </si>
  <si>
    <t>HP-003</t>
  </si>
  <si>
    <t>Återbruk av Centralbron i stället för rivning</t>
  </si>
  <si>
    <t>Svårt att räkna hem och försvara rivning av befintlig infrastruktur.</t>
  </si>
  <si>
    <t>Stockholms stad (trafik- och planmyndighet).</t>
  </si>
  <si>
    <t>Låg</t>
  </si>
  <si>
    <t>Inget formellt beslut. MP föreslog Centralpromenaden 16 sep 2026; ingen tidplan. Säkerhet: låg, kontrollera nämndhandlingar.</t>
  </si>
  <si>
    <t>Vet ej</t>
  </si>
  <si>
    <t>Ställ om Sverige
Fönsterkälla: dagensinfrastruktur.se/2026/09/16/stockholm-mp-vill-gora-centralbron-till-gron-promenad</t>
  </si>
  <si>
    <t>HP-004</t>
  </si>
  <si>
    <t>Ungas mobilitetsfattigdom i Sundsbruk</t>
  </si>
  <si>
    <t>Unga saknar körkort, rösträtt och kvälls- och helgturer 10 km från centrum.</t>
  </si>
  <si>
    <t>Sundsvalls kommun, Din Tur, RISE.</t>
  </si>
  <si>
    <t>Trafikavtalet för Medelpad är tilldelat (Vy, start dec 2027). Kvar: trafikplanering och avtalsdialog före start. Säkerhet: medel.</t>
  </si>
  <si>
    <t>Stängt</t>
  </si>
  <si>
    <t>Ställ om Sverige
Fönsterkälla: bussmagasinet.se/2026/06/tva-foretag-delar-pa-vasternorrland-nobina-forlorar-sin-trafik</t>
  </si>
  <si>
    <t>HP-005</t>
  </si>
  <si>
    <t>Bilberoende nya stadsdelar i Halland</t>
  </si>
  <si>
    <t>Kollektivtrafik och alternativ finns inte på plats när nya områden planeras.</t>
  </si>
  <si>
    <t>Halmstads och Varbergs kommuner, Vivab, RISE.</t>
  </si>
  <si>
    <t>Björkeslätt etapp 1 beslutad i kommunstyrelsen 22 apr 2026, vidare till fullmäktige; Norra Västerport omvandlas 2030-2050. Säkerhet: medel.</t>
  </si>
  <si>
    <t>Ställ om Sverige
Fönsterkälla: nyaprojekt.se/2026/04/22 (Björkeslätt); varberg.se/varbergvaxer/vasterport/norra-vasterport</t>
  </si>
  <si>
    <t>HP-006</t>
  </si>
  <si>
    <t>Blandstad på industrimark med många ägare</t>
  </si>
  <si>
    <t>Kommunen äger lite mark; cirka 60 fastighetsägare måste samverka utanför formella ramverk.</t>
  </si>
  <si>
    <t>Kalmar kommun, fastighetsägarna.</t>
  </si>
  <si>
    <t>3 Byggd miljö möter mobilitet</t>
  </si>
  <si>
    <t>SURE Kalmar testade blandstadsvision 2025; nästa fas mot program och detaljplan, inget datum hittat. Säkerhet: medel.</t>
  </si>
  <si>
    <t>Ställ om Sverige
Fönsterkälla: kalmar.se nyhet 2024-12-04 (SURE Kalmar)</t>
  </si>
  <si>
    <t>HP-007</t>
  </si>
  <si>
    <t>Prästgårdar som bygdens noder</t>
  </si>
  <si>
    <t>Nästan 80 % av prästgårdarna har sålts sedan 2000-talet.</t>
  </si>
  <si>
    <t>Svenska kyrkans församlingar, kommuner.</t>
  </si>
  <si>
    <t>Kyrkomötet 29 sep-2 okt och 16-18 nov 2026 behandlar 89 motioner; prästgårdsmotion ej belagd. Säkerhet: låg.</t>
  </si>
  <si>
    <t>Ställ om Sverige
Fönsterkälla: via.tt.se/pressmeddelande/4550088; svenskakyrkan.se/kyrkomotet/kyrkomotet-2026</t>
  </si>
  <si>
    <t>HP-008</t>
  </si>
  <si>
    <t>Grön industriomställning utan livsmiljöer i norr</t>
  </si>
  <si>
    <t>Risk för fly-in-fly-out; unga saknar arenor och framtidsträning.</t>
  </si>
  <si>
    <t>Luleå kommun, LTU.</t>
  </si>
  <si>
    <t>Tillväxtverkets samordningsuppdrag för nyindustrialiseringen i Norr- och Västerbotten slutar 31 dec 2026; ny regering förlänger eller inte. Säkerhet: medel.</t>
  </si>
  <si>
    <t>Ställ om Sverige
Fönsterkälla: regeringen.se/pressmeddelanden/2023/12 (Tillväxtverket förlängt uppdrag)</t>
  </si>
  <si>
    <t>HP-009</t>
  </si>
  <si>
    <t>Tillgänglighetsproposition i stället för prognoser</t>
  </si>
  <si>
    <t>Planeringen skriver fram trafiken (självuppfyllande profetior) och målstyrningen är otydlig.</t>
  </si>
  <si>
    <t>Regering och riksdag, Trafikverket.</t>
  </si>
  <si>
    <t>Regeringsbildning pågår (ingen ny regering 2 okt), budgetprop senast 12 nov; Trafikverkets uppdrag om samhällsekonomiska underlag (aug 2026). Ingen tillgänglighetsproposition i sikte. Säkerhet: medel.</t>
  </si>
  <si>
    <t>Ännu en historisk satsning
Fönsterkälla: regeringen.se/regeringsuppdrag/2026/08 (uppdrag till Trafikverket, samhällsekonomiska underlag); riksdagen.se skrivelse 2025/26:259</t>
  </si>
  <si>
    <t>HP-010</t>
  </si>
  <si>
    <t>Pengar och mandat för fyrstegsprincipens steg 1 och 2</t>
  </si>
  <si>
    <t>Ingen har mandat eller avsatta medel; förordningarna tolkas som stöd till anläggningar.</t>
  </si>
  <si>
    <t>Regeringen, Trafikverket.</t>
  </si>
  <si>
    <t>Regeringsbildning pågår; Trafikverkets förslag om medfinansiering av steg 1-2 redovisades 14 feb 2025, inget beslut hittat. Säkerhet: låg.</t>
  </si>
  <si>
    <t>Ännu en historisk satsning
Fönsterkälla: regeringen.se/pressmeddelanden/2024/07 (uppdrag till Trafikverket, effektivare nyttjande)</t>
  </si>
  <si>
    <t>HP-011</t>
  </si>
  <si>
    <t>Regionala tillgänglighetsavtal</t>
  </si>
  <si>
    <t>Stat, region och kommun har skilda verktyg och oklar finansiering av steg 1-2.</t>
  </si>
  <si>
    <t>Trafikverket, regioner, kommuner.</t>
  </si>
  <si>
    <t>Stadsmiljöavtalet avvecklat (inga nya beslut sedan 2023); nytt verktyg kan komma via ny regering och budget. VGR-avtal ej verifierat. Säkerhet: låg.</t>
  </si>
  <si>
    <t>Ännu en historisk satsning
Fönsterkälla: bransch.trafikverket.se (Stadsmiljöavtal); regeringen.se LI2024/01376</t>
  </si>
  <si>
    <t>HP-012</t>
  </si>
  <si>
    <t>Reserverad gatuparkering för bilpooler</t>
  </si>
  <si>
    <t>Trafikförordningen tillåter reservation för taxi och elfordon men inte för bilpooler.</t>
  </si>
  <si>
    <t>Regeringen (förordning); kommuner kan pröva praxis inom PBL nu.</t>
  </si>
  <si>
    <t>Inget hittat. Utskottet avslog bilpoolsmotioner (TU9 2025/26); praktiskt fönster är kommunal praxis inom PBL. Säkerhet: låg.</t>
  </si>
  <si>
    <t>Bilpoolsparkering
Fönsterkälla: riksdagen.se betänkande 2025/26:TU9</t>
  </si>
  <si>
    <t>HP-013</t>
  </si>
  <si>
    <t>Integrerad fyrstegsprincip, 16 synergier</t>
  </si>
  <si>
    <t>Transport och samhällsbyggnad drivs av olika logiker och yrkeskulturer.</t>
  </si>
  <si>
    <t>Trafikverket, Boverket, regioner, kommuner; ShiftSweden kan testa i workshops.</t>
  </si>
  <si>
    <t>Regeringsuppdraget om strategisk planering i regionalt utvecklingsarbete 2025-2028 är arena för test; kopplingen till fyrstegsprincipen är vår tolkning. Säkerhet: medel.</t>
  </si>
  <si>
    <t>Integrerad fyrstegsprincip
Fönsterkälla: regeringen.se/regeringsuppdrag/2024/05 (LI2024/01013)</t>
  </si>
  <si>
    <t>HP-014</t>
  </si>
  <si>
    <t>Självkörande fordon i kollektivtrafiken</t>
  </si>
  <si>
    <t>EU-regler 2027; utan styrning kan tekniken öka trafiken i stället för delat resande.</t>
  </si>
  <si>
    <t>Kollektivtrafikmyndigheter, Transportstyrelsen.</t>
  </si>
  <si>
    <t>EU tillåter obegränsade serier förarlösa fordon 1 jan 2027; svensk lagstiftning saknas, ingen remiss eller prop daterad. Säkerhet: medel.</t>
  </si>
  <si>
    <t>Självkörande fordon
Fönsterkälla: transportstyrelsen.se (trafikregleringsmodell automatiserade fordon, nov 2025)</t>
  </si>
  <si>
    <t>HP-015</t>
  </si>
  <si>
    <t>Regional strategisk planering och innovation</t>
  </si>
  <si>
    <t>Svag regional planeringstradition och ingen sektorsövergripande nationell nivå.</t>
  </si>
  <si>
    <t>Tillväxtverket, Boverket, regioner.</t>
  </si>
  <si>
    <t>Regeringsuppdraget löper 2025-2028 (delredovisning 21 feb 2027, slut 21 feb 2028), inte 2027 som rapporten anger. Säkerhet: hög.</t>
  </si>
  <si>
    <t>Regional strategisk planering
Fönsterkälla: regeringen.se/regeringsuppdrag/2024/05 (LI2024/01013)</t>
  </si>
  <si>
    <t>HP-016</t>
  </si>
  <si>
    <t>Förändringsrum som återkommande arena</t>
  </si>
  <si>
    <t>Aktörer möts aldrig på riktigt; formatet är prövat i bara fyra rum.</t>
  </si>
  <si>
    <t>ShiftSwedens programkontor.</t>
  </si>
  <si>
    <t>Vinnova/Formas utlysning av omställningslabb stängde 25 mars 2026; labben startar sommaren 2026 och pågår till jan 2030. Säkerhet: medel.</t>
  </si>
  <si>
    <t>Förändringsrum Skifte 3
Fönsterkälla: vinnova.se/e/utlysning-2024-01497/impact-innovation-omstallningslabb-for-2025-04835</t>
  </si>
  <si>
    <t>HP-017</t>
  </si>
  <si>
    <t>Trafikmiljöer i orter under 20 000 invånare</t>
  </si>
  <si>
    <t>Få exempel och lite evidens; små orter har låg täthet och låg investeringsvilja.</t>
  </si>
  <si>
    <t>Små kommuner, Trafikverket, Boverket.</t>
  </si>
  <si>
    <t>Labbet Trafikmiljöer i mindre orter pågår (beslut aug 2025, slut sep 2028). Inget myndighetsuppdrag hittat. Säkerhet: medel.</t>
  </si>
  <si>
    <t>Trafikmiljöer i mindre städer
Fönsterkälla: vinnova.se/e/utlysning-2024-01497/impact-innovation-delta-i-banbrytande-2024-04212</t>
  </si>
  <si>
    <t>HP-018</t>
  </si>
  <si>
    <t>Efterfrågestyrda parkeringsavgifter</t>
  </si>
  <si>
    <t>Avgift får bara tas ut för att ordna trafiken, inte efter efterfrågan och markens värde.</t>
  </si>
  <si>
    <t>Regeringen (lagändring), kommuner.</t>
  </si>
  <si>
    <t>Inget hittat. Närliggande: utredning om moms på parkeringsplatser redovisas 22 dec 2026. Säkerhet: låg.</t>
  </si>
  <si>
    <t>Småhusområden
Fönsterkälla: regeringen.se/pressmeddelanden/2026/03 (utredning moms parkering)</t>
  </si>
  <si>
    <t>HP-019</t>
  </si>
  <si>
    <t>30 km/h som bashastighet i tätort</t>
  </si>
  <si>
    <t>50 km/h är normen; varje sänkning kräver beslut och skyltning.</t>
  </si>
  <si>
    <t>Regeringen, Trafikverket, kommuner.</t>
  </si>
  <si>
    <t>Inget hittat. Trafikutskottet behandlade 30/40 km/h-motion 2026 (TU6), utfall ej bekräftat. Säkerhet: låg.</t>
  </si>
  <si>
    <t>Småhusområden
Fönsterkälla: riksdagen.se betänkande 2025/26:TU6</t>
  </si>
  <si>
    <t>HP-020</t>
  </si>
  <si>
    <t>Kollektivtrafikmyndighet blir mobilitetsmyndighet</t>
  </si>
  <si>
    <t>Affärsmodellen styrs av biljettintäkter, inte tillgänglighet; färdmedelsneutral lagstiftning saknas.</t>
  </si>
  <si>
    <t>Regionala kollektivtrafikmyndigheter, privata mobilitetsaktörer.</t>
  </si>
  <si>
    <t>Inget fönster som träffar låset. EU:s revision av PSO-riktlinjerna (1370/2007) och ordningsregler 1 jan 2027 är närliggande, ej bekräftade. Säkerhet: låg.</t>
  </si>
  <si>
    <t>Breddad roll för kollektivtrafiken
Fönsterkälla: regeringen.se (promemoria Enhetligare ordningsregler för kollektivtrafiken, 2026/01)</t>
  </si>
  <si>
    <t>HP-021</t>
  </si>
  <si>
    <t>Rekordårens flerbostadsområden: renovera eller riva</t>
  </si>
  <si>
    <t>Renovering ger hyreshöjning 50-70 % under bruksvärdessystemet; rivningslogik får fäste.</t>
  </si>
  <si>
    <t>Fastighetsägare, kommuner, staten.</t>
  </si>
  <si>
    <t>1 Cirkulärt byggande</t>
  </si>
  <si>
    <t>Regeringsbildning pågår; SOU 2025:65 (flexiblare hyresmarknad) bereds; riksdagen avslog skärpta renoveringsregler mars 2026. Säkerhet: medel.</t>
  </si>
  <si>
    <t>Flerbostadshusområden
Fönsterkälla: riksdagen.se betänkande 2025/26:CU14</t>
  </si>
  <si>
    <t>HP-022</t>
  </si>
  <si>
    <t>Moms och bruksvärde som hinder för återbruk</t>
  </si>
  <si>
    <t>Moms på återbrukat och hyressättning som inte belönar återbruk.</t>
  </si>
  <si>
    <t>Regeringen, hyresmarknadens parter.</t>
  </si>
  <si>
    <t>Lagrådsremiss 2 juli 2026 om begagnade varor, ikraftträdande 1 jan 2028, prop väntas; gäller inte byggmaterial eller hyressättning. Säkerhet: medel.</t>
  </si>
  <si>
    <t>Återbruk, marknad och logistik
Fönsterkälla: regeringen.se/pressmeddelanden/2026/07 (enklare momsregler begagnade varor)</t>
  </si>
  <si>
    <t>HP-023</t>
  </si>
  <si>
    <t>Demonteringslov och flexiblare bygglov</t>
  </si>
  <si>
    <t>Bygglov kräver detaljerat utseende och mått, vilket försvårar återbruk.</t>
  </si>
  <si>
    <t>Kommuner, Boverket.</t>
  </si>
  <si>
    <t>Inget kommande beslut hittat. Nya bygglovsregler gäller sedan 1 dec 2025; Boverket har vägledning om återbruk. Säkerhet: låg.</t>
  </si>
  <si>
    <t>Återbruk, marknad och logistik
Fönsterkälla: boverket.se/sv/samhallsplanering/uppdrag/nytt-regelverk-for-bygglov</t>
  </si>
  <si>
    <t>HP-024</t>
  </si>
  <si>
    <t>Kvalitetsansvar och gemensam data för återbruk</t>
  </si>
  <si>
    <t>Oklart vem som ansvarar för återbrukade materials egenskaper; utbudet är svårt att hitta.</t>
  </si>
  <si>
    <t>Branschen, Boverket.</t>
  </si>
  <si>
    <t>EU:s byggproduktförordning har återbruksregler (tillämpning ej kontrollerad, kanske jan 2027); Boverkets införandeuppdrag. Säkerhet: medel.</t>
  </si>
  <si>
    <t>Återbruk, marknad och logistik
Fönsterkälla: regeringen.se/regeringsuppdrag/2025/01 (Boverket, byggproduktförordning, LI2024/02407)</t>
  </si>
  <si>
    <t>HP-025</t>
  </si>
  <si>
    <t>Europan 18 som testbädd för platser</t>
  </si>
  <si>
    <t>Kommuner arbetar med liknande frågor i skilda processer.</t>
  </si>
  <si>
    <t>Kommunerna, Europan Sverige.</t>
  </si>
  <si>
    <t>Europan 18: Eslöv utvecklar vinnarförslaget från sep 2026; Europan 19 lanseras 2 okt 2026, svenskt deltagande ej bekräftat. Säkerhet: medel.</t>
  </si>
  <si>
    <t>Europan
Fönsterkälla: utveckla.eslov.se/projekt/europan-arkitekttavling; Europan Europe</t>
  </si>
  <si>
    <t>Översikt: de stora dragen</t>
  </si>
  <si>
    <t>Hävstång nedåt, fönster i sidled. * betyder svår att nå (Räckvidd låg). Rutan uppe till vänster (hög hävstång, öppet fönster) är det vi diskuterar först.</t>
  </si>
  <si>
    <t>Hävstång \ Fönster</t>
  </si>
  <si>
    <t>Så använder vi loggen</t>
  </si>
  <si>
    <t>Syfte</t>
  </si>
  <si>
    <t>Ge gruppen en gemensam bild av var systemet går att rubba och när, så att vi kan prioritera tillsammans. Loggen är ett diskussionsunderlag, inte en exakt mätning.</t>
  </si>
  <si>
    <t>En rad är</t>
  </si>
  <si>
    <t>En hävstångspunkt: ett ställe där en liten insats kan ge stor effekt. Skriv rubrik, låset i en mening och vem som kan agera.</t>
  </si>
  <si>
    <t>Hög, Medel eller Låg: hur stor effekt blir det om låset rubbas? Känn efter, ingen exakthet behövs.</t>
  </si>
  <si>
    <t>Hög, Medel eller Låg: kan vi eller ShiftSweden nå de som kan agera?</t>
  </si>
  <si>
    <t>Fönster</t>
  </si>
  <si>
    <t>Ett fönster är något som öppnar sig nu: ett beslut, en utredning, en upphandling eller ett stort omvandlingsprojekt. Skriv det kort och välj Öppet nu, Snart, Stängt eller Vet ej. Samma ord på flera rader visar att de delar fönster (filtrera). Fönstren i denna version är sökta på nätet 2026-10-02 mot regeringen.se, riksdagen.se, myndigheter och Vinnova; varje fönstertext slutar med säkerhet och källan står i kolumn N. Kontrollera de viktigaste innan ni lutar er mot dem.</t>
  </si>
  <si>
    <t>Räknas automatiskt: Ta upp nu när hävstången är medel eller hög, fönstret är öppet och räckvidden inte är låg. Bevaka fönster när hävstången är hög men fönstret inte är öppet. Annars Parkera. Förslaget är bara en utgångspunkt.</t>
  </si>
  <si>
    <t>Fylls i på mötet efter diskussion: Ta upp nu, Bevaka, Parkera eller Klar. Skriv nästa steg och ansvarig i kolumnen bredvid.</t>
  </si>
  <si>
    <t>Fylls i på utvärderingsmötet: en mening om vad vi lärde oss, till exempel om hävstången var rätt bedömd, om fönstret öppnades och vad som överraskade. Justera samtidigt Hävstång, Räckvidd och Fönster nu och sätt Gruppens val till Klar, Bevaka eller Parkera.</t>
  </si>
  <si>
    <t>Bra att kolla (valfritt)</t>
  </si>
  <si>
    <t>En stark punkt har oftast: ett konkret lås, fler än en berörd aktör, ett pågående beslutsläge, något som gick emot förväntan och aktörer inom räckhåll.</t>
  </si>
  <si>
    <t>Detaljer</t>
  </si>
  <si>
    <t/>
  </si>
  <si>
    <t>Momentumlabbet</t>
  </si>
  <si>
    <t>Labbets sex projekt kan bli fönster när de har något konkret: Miljonprogrammets tvillingområden (RISE), Luleå (LTU), Stadsbyggnadskontakten (Uppsala kommun), ASSISTS (Chalmers CIT), SMART MARK (SLU) och HOP-IN (Helsingborgs kommun). Lägg in dem i kolumnen Fönster när de preciseras.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</si>
</sst>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4"/>
      <color rgb="FF1E2761"/>
      <name val="Cambria"/>
      <charset val="1"/>
    </font>
    <font>
      <sz val="11"/>
      <color rgb="FF555555"/>
      <name val="Cambria"/>
      <charset val="1"/>
    </font>
    <font>
      <b/>
      <sz val="11"/>
      <color rgb="FFFFFFFF"/>
      <name val="Calibri"/>
      <charset val="1"/>
    </font>
    <font>
      <b/>
      <sz val="11"/>
      <name val="Cambria"/>
      <charset val="1"/>
    </font>
    <font>
      <b/>
      <sz val="11"/>
      <color rgb="FF000000"/>
      <name val="Cambria"/>
      <charset val="1"/>
    </font>
  </fonts>
  <fills count="7">
    <fill>
      <patternFill patternType="none"/>
    </fill>
    <fill>
      <patternFill patternType="gray125"/>
    </fill>
    <fill>
      <patternFill patternType="solid">
        <fgColor rgb="FF1E2761"/>
        <bgColor rgb="FF333333"/>
      </patternFill>
    </fill>
    <fill>
      <patternFill patternType="solid">
        <fgColor rgb="FFFFF9DB"/>
        <bgColor rgb="FFF2F2F2"/>
      </patternFill>
    </fill>
    <fill>
      <patternFill patternType="solid">
        <fgColor rgb="FFF2F2F2"/>
        <bgColor rgb="FFE8F5E9"/>
      </patternFill>
    </fill>
    <fill>
      <patternFill patternType="solid">
        <fgColor rgb="FFE8F5E9"/>
        <bgColor rgb="FFF2F2F2"/>
      </patternFill>
    </fill>
    <fill>
      <patternFill patternType="solid">
        <fgColor rgb="FFFFFFFF"/>
        <bgColor rgb="FFFFF9D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2" fillId="0" borderId="0" xfId="0" applyFont="1"/>
    <xf numFmtId="0" fontId="1" fillId="0" borderId="0" xfId="0" applyFont="1"/>
    <xf numFmtId="0" fontId="1" fillId="0" borderId="0" xfId="0" applyFont="1"/>
    <xf numFmtId="0" fontId="3"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3" fillId="2" borderId="0" xfId="0" applyFont="1" applyFill="1"/>
    <xf numFmtId="0" fontId="3" fillId="2" borderId="0" xfId="0" applyFont="1" applyFill="1" applyAlignment="1">
      <alignment horizontal="center"/>
    </xf>
    <xf numFmtId="0" fontId="4" fillId="0" borderId="0" xfId="0" applyFont="1" applyAlignment="1">
      <alignment vertical="center"/>
    </xf>
    <xf numFmtId="0" fontId="0" fillId="5" borderId="1" xfId="0" applyFill="1" applyBorder="1" applyAlignment="1">
      <alignment vertical="top" wrapText="1"/>
    </xf>
    <xf numFmtId="0" fontId="0" fillId="6" borderId="1" xfId="0" applyFill="1" applyBorder="1" applyAlignment="1">
      <alignment vertical="top" wrapText="1"/>
    </xf>
    <xf numFmtId="0" fontId="1" fillId="0" borderId="0" xfId="0" applyFont="1" applyAlignment="1">
      <alignment vertical="top" wrapText="1"/>
    </xf>
    <xf numFmtId="0" fontId="5" fillId="0" borderId="0" xfId="0" applyFont="1" applyAlignment="1">
      <alignment vertical="top" wrapText="1"/>
    </xf>
    <xf numFmtId="0" fontId="0" fillId="0" borderId="0" xfId="0" applyAlignment="1">
      <alignment vertical="top" wrapText="1"/>
    </xf>
  </cellXfs>
  <cellStyles count="1">
    <cellStyle name="Normal" xfId="0" builtinId="0"/>
  </cellStyles>
  <dxfs count="8">
    <dxf>
      <fill>
        <patternFill>
          <bgColor rgb="FFFFEB9C"/>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4CCCC"/>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DB"/>
      <rgbColor rgb="FFE8F5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4CCCC"/>
      <rgbColor rgb="FF3366FF"/>
      <rgbColor rgb="FF33CCCC"/>
      <rgbColor rgb="FF99CC00"/>
      <rgbColor rgb="FFFFCC00"/>
      <rgbColor rgb="FFFF9900"/>
      <rgbColor rgb="FFFF6600"/>
      <rgbColor rgb="FF555555"/>
      <rgbColor rgb="FF969696"/>
      <rgbColor rgb="FF1E276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0"/>
  <sheetViews>
    <sheetView tabSelected="1" zoomScale="80" zoomScaleNormal="80" workbookViewId="0">
      <pane xSplit="2" ySplit="4" topLeftCell="C14" activePane="bottomRight" state="frozen"/>
      <selection pane="topRight" activeCell="C1" sqref="C1"/>
      <selection pane="bottomLeft" activeCell="A5" sqref="A5"/>
      <selection pane="bottomRight" activeCell="D8" sqref="D8"/>
    </sheetView>
  </sheetViews>
  <sheetFormatPr defaultColWidth="8.69921875" defaultRowHeight="14" x14ac:dyDescent="0.3"/>
  <cols>
    <col min="1" max="1" width="8" customWidth="1"/>
    <col min="2" max="2" width="38" customWidth="1"/>
    <col min="3" max="3" width="48" customWidth="1"/>
    <col min="4" max="4" width="34" customWidth="1"/>
    <col min="5" max="5" width="13" customWidth="1"/>
    <col min="6" max="7" width="11" customWidth="1"/>
    <col min="8" max="8" width="52" customWidth="1"/>
    <col min="9" max="9" width="12" customWidth="1"/>
    <col min="10" max="10" width="16" customWidth="1"/>
    <col min="11" max="11" width="14" customWidth="1"/>
    <col min="12" max="12" width="30" customWidth="1"/>
    <col min="13" max="13" width="36" customWidth="1"/>
    <col min="14" max="14" width="40" customWidth="1"/>
    <col min="15" max="15" width="12" customWidth="1"/>
  </cols>
  <sheetData>
    <row r="1" spans="1:15" ht="17.75" x14ac:dyDescent="0.35">
      <c r="A1" s="2" t="s">
        <v>0</v>
      </c>
      <c r="B1" s="2"/>
      <c r="C1" s="2"/>
      <c r="D1" s="2"/>
      <c r="E1" s="2"/>
      <c r="F1" s="2"/>
      <c r="G1" s="2"/>
      <c r="H1" s="2"/>
      <c r="I1" s="2"/>
      <c r="J1" s="2"/>
      <c r="K1" s="2"/>
      <c r="L1" s="2"/>
      <c r="M1" s="2"/>
      <c r="N1" s="2"/>
      <c r="O1" s="2"/>
    </row>
    <row r="2" spans="1:15" x14ac:dyDescent="0.3">
      <c r="A2" s="1" t="s">
        <v>1</v>
      </c>
      <c r="B2" s="1"/>
      <c r="C2" s="1"/>
      <c r="D2" s="1"/>
      <c r="E2" s="1"/>
      <c r="F2" s="1"/>
      <c r="G2" s="1"/>
      <c r="H2" s="1"/>
      <c r="I2" s="1"/>
      <c r="J2" s="1"/>
      <c r="K2" s="1"/>
      <c r="L2" s="1"/>
      <c r="M2" s="1"/>
      <c r="N2" s="1"/>
      <c r="O2" s="1"/>
    </row>
    <row r="4" spans="1:15" ht="31.6" customHeight="1" x14ac:dyDescent="0.3">
      <c r="A4" s="4" t="s">
        <v>2</v>
      </c>
      <c r="B4" s="4" t="s">
        <v>3</v>
      </c>
      <c r="C4" s="4" t="s">
        <v>4</v>
      </c>
      <c r="D4" s="4" t="s">
        <v>5</v>
      </c>
      <c r="E4" s="4" t="s">
        <v>6</v>
      </c>
      <c r="F4" s="4" t="s">
        <v>7</v>
      </c>
      <c r="G4" s="4" t="s">
        <v>8</v>
      </c>
      <c r="H4" s="4" t="s">
        <v>9</v>
      </c>
      <c r="I4" s="4" t="s">
        <v>10</v>
      </c>
      <c r="J4" s="4" t="s">
        <v>11</v>
      </c>
      <c r="K4" s="4" t="s">
        <v>12</v>
      </c>
      <c r="L4" s="4" t="s">
        <v>13</v>
      </c>
      <c r="M4" s="4" t="s">
        <v>14</v>
      </c>
      <c r="N4" s="4" t="s">
        <v>15</v>
      </c>
      <c r="O4" s="4" t="s">
        <v>16</v>
      </c>
    </row>
    <row r="5" spans="1:15" ht="78.05" customHeight="1" x14ac:dyDescent="0.3">
      <c r="A5" s="5" t="s">
        <v>17</v>
      </c>
      <c r="B5" s="6" t="s">
        <v>18</v>
      </c>
      <c r="C5" s="6" t="s">
        <v>19</v>
      </c>
      <c r="D5" s="6" t="s">
        <v>20</v>
      </c>
      <c r="E5" s="6" t="s">
        <v>21</v>
      </c>
      <c r="F5" s="6" t="s">
        <v>22</v>
      </c>
      <c r="G5" s="6" t="s">
        <v>22</v>
      </c>
      <c r="H5" s="6" t="s">
        <v>23</v>
      </c>
      <c r="I5" s="6" t="s">
        <v>24</v>
      </c>
      <c r="J5" s="7" t="str">
        <f t="shared" ref="J5:J36" si="0">IF(B5="","",IF(AND(I5="Öppet nu",F5&lt;&gt;"Låg",G5&lt;&gt;"Låg"),"Ta upp nu",IF(F5="Hög","Bevaka fönster","Parkera")))</f>
        <v>Ta upp nu</v>
      </c>
      <c r="K5" s="6"/>
      <c r="L5" s="6"/>
      <c r="M5" s="6"/>
      <c r="N5" s="6" t="s">
        <v>25</v>
      </c>
      <c r="O5" s="5" t="s">
        <v>26</v>
      </c>
    </row>
    <row r="6" spans="1:15" ht="78.05" customHeight="1" x14ac:dyDescent="0.3">
      <c r="A6" s="5" t="s">
        <v>27</v>
      </c>
      <c r="B6" s="6" t="s">
        <v>28</v>
      </c>
      <c r="C6" s="6" t="s">
        <v>29</v>
      </c>
      <c r="D6" s="6" t="s">
        <v>30</v>
      </c>
      <c r="E6" s="6" t="s">
        <v>31</v>
      </c>
      <c r="F6" s="6" t="s">
        <v>22</v>
      </c>
      <c r="G6" s="6" t="s">
        <v>32</v>
      </c>
      <c r="H6" s="6" t="s">
        <v>33</v>
      </c>
      <c r="I6" s="6" t="s">
        <v>34</v>
      </c>
      <c r="J6" s="7" t="str">
        <f t="shared" si="0"/>
        <v>Bevaka fönster</v>
      </c>
      <c r="K6" s="6"/>
      <c r="L6" s="6"/>
      <c r="M6" s="6"/>
      <c r="N6" s="6" t="s">
        <v>35</v>
      </c>
      <c r="O6" s="5" t="s">
        <v>26</v>
      </c>
    </row>
    <row r="7" spans="1:15" ht="78.05" customHeight="1" x14ac:dyDescent="0.3">
      <c r="A7" s="5" t="s">
        <v>36</v>
      </c>
      <c r="B7" s="6" t="s">
        <v>37</v>
      </c>
      <c r="C7" s="6" t="s">
        <v>38</v>
      </c>
      <c r="D7" s="6" t="s">
        <v>39</v>
      </c>
      <c r="E7" s="6" t="s">
        <v>31</v>
      </c>
      <c r="F7" s="6" t="s">
        <v>22</v>
      </c>
      <c r="G7" s="6" t="s">
        <v>40</v>
      </c>
      <c r="H7" s="6" t="s">
        <v>41</v>
      </c>
      <c r="I7" s="6" t="s">
        <v>42</v>
      </c>
      <c r="J7" s="7" t="str">
        <f t="shared" si="0"/>
        <v>Bevaka fönster</v>
      </c>
      <c r="K7" s="6"/>
      <c r="L7" s="6"/>
      <c r="M7" s="6"/>
      <c r="N7" s="6" t="s">
        <v>43</v>
      </c>
      <c r="O7" s="5" t="s">
        <v>26</v>
      </c>
    </row>
    <row r="8" spans="1:15" ht="78.05" customHeight="1" x14ac:dyDescent="0.3">
      <c r="A8" s="5" t="s">
        <v>44</v>
      </c>
      <c r="B8" s="6" t="s">
        <v>45</v>
      </c>
      <c r="C8" s="6" t="s">
        <v>46</v>
      </c>
      <c r="D8" s="6" t="s">
        <v>47</v>
      </c>
      <c r="E8" s="6" t="s">
        <v>31</v>
      </c>
      <c r="F8" s="6" t="s">
        <v>32</v>
      </c>
      <c r="G8" s="6" t="s">
        <v>22</v>
      </c>
      <c r="H8" s="6" t="s">
        <v>48</v>
      </c>
      <c r="I8" s="6" t="s">
        <v>49</v>
      </c>
      <c r="J8" s="7" t="str">
        <f t="shared" si="0"/>
        <v>Parkera</v>
      </c>
      <c r="K8" s="6"/>
      <c r="L8" s="6"/>
      <c r="M8" s="6"/>
      <c r="N8" s="6" t="s">
        <v>50</v>
      </c>
      <c r="O8" s="5" t="s">
        <v>26</v>
      </c>
    </row>
    <row r="9" spans="1:15" ht="78.05" customHeight="1" x14ac:dyDescent="0.3">
      <c r="A9" s="5" t="s">
        <v>51</v>
      </c>
      <c r="B9" s="6" t="s">
        <v>52</v>
      </c>
      <c r="C9" s="6" t="s">
        <v>53</v>
      </c>
      <c r="D9" s="6" t="s">
        <v>54</v>
      </c>
      <c r="E9" s="6" t="s">
        <v>31</v>
      </c>
      <c r="F9" s="6" t="s">
        <v>32</v>
      </c>
      <c r="G9" s="6" t="s">
        <v>22</v>
      </c>
      <c r="H9" s="6" t="s">
        <v>55</v>
      </c>
      <c r="I9" s="6" t="s">
        <v>34</v>
      </c>
      <c r="J9" s="7" t="str">
        <f t="shared" si="0"/>
        <v>Parkera</v>
      </c>
      <c r="K9" s="6"/>
      <c r="L9" s="6"/>
      <c r="M9" s="6"/>
      <c r="N9" s="6" t="s">
        <v>56</v>
      </c>
      <c r="O9" s="5" t="s">
        <v>26</v>
      </c>
    </row>
    <row r="10" spans="1:15" ht="78.05" customHeight="1" x14ac:dyDescent="0.3">
      <c r="A10" s="5" t="s">
        <v>57</v>
      </c>
      <c r="B10" s="6" t="s">
        <v>58</v>
      </c>
      <c r="C10" s="6" t="s">
        <v>59</v>
      </c>
      <c r="D10" s="6" t="s">
        <v>60</v>
      </c>
      <c r="E10" s="6" t="s">
        <v>61</v>
      </c>
      <c r="F10" s="6" t="s">
        <v>32</v>
      </c>
      <c r="G10" s="6" t="s">
        <v>22</v>
      </c>
      <c r="H10" s="6" t="s">
        <v>62</v>
      </c>
      <c r="I10" s="6" t="s">
        <v>42</v>
      </c>
      <c r="J10" s="7" t="str">
        <f t="shared" si="0"/>
        <v>Parkera</v>
      </c>
      <c r="K10" s="6"/>
      <c r="L10" s="6"/>
      <c r="M10" s="6"/>
      <c r="N10" s="6" t="s">
        <v>63</v>
      </c>
      <c r="O10" s="5" t="s">
        <v>26</v>
      </c>
    </row>
    <row r="11" spans="1:15" ht="78.05" customHeight="1" x14ac:dyDescent="0.3">
      <c r="A11" s="5" t="s">
        <v>64</v>
      </c>
      <c r="B11" s="6" t="s">
        <v>65</v>
      </c>
      <c r="C11" s="6" t="s">
        <v>66</v>
      </c>
      <c r="D11" s="6" t="s">
        <v>67</v>
      </c>
      <c r="E11" s="6" t="s">
        <v>61</v>
      </c>
      <c r="F11" s="6" t="s">
        <v>32</v>
      </c>
      <c r="G11" s="6" t="s">
        <v>32</v>
      </c>
      <c r="H11" s="6" t="s">
        <v>68</v>
      </c>
      <c r="I11" s="6" t="s">
        <v>34</v>
      </c>
      <c r="J11" s="7" t="str">
        <f t="shared" si="0"/>
        <v>Parkera</v>
      </c>
      <c r="K11" s="6"/>
      <c r="L11" s="6"/>
      <c r="M11" s="6"/>
      <c r="N11" s="6" t="s">
        <v>69</v>
      </c>
      <c r="O11" s="5" t="s">
        <v>26</v>
      </c>
    </row>
    <row r="12" spans="1:15" ht="78.05" customHeight="1" x14ac:dyDescent="0.3">
      <c r="A12" s="5" t="s">
        <v>70</v>
      </c>
      <c r="B12" s="6" t="s">
        <v>71</v>
      </c>
      <c r="C12" s="6" t="s">
        <v>72</v>
      </c>
      <c r="D12" s="6" t="s">
        <v>73</v>
      </c>
      <c r="E12" s="6" t="s">
        <v>21</v>
      </c>
      <c r="F12" s="6" t="s">
        <v>32</v>
      </c>
      <c r="G12" s="6" t="s">
        <v>22</v>
      </c>
      <c r="H12" s="6" t="s">
        <v>74</v>
      </c>
      <c r="I12" s="6" t="s">
        <v>34</v>
      </c>
      <c r="J12" s="7" t="str">
        <f t="shared" si="0"/>
        <v>Parkera</v>
      </c>
      <c r="K12" s="6"/>
      <c r="L12" s="6"/>
      <c r="M12" s="6"/>
      <c r="N12" s="6" t="s">
        <v>75</v>
      </c>
      <c r="O12" s="5" t="s">
        <v>26</v>
      </c>
    </row>
    <row r="13" spans="1:15" ht="78.05" customHeight="1" x14ac:dyDescent="0.3">
      <c r="A13" s="5" t="s">
        <v>76</v>
      </c>
      <c r="B13" s="6" t="s">
        <v>77</v>
      </c>
      <c r="C13" s="6" t="s">
        <v>78</v>
      </c>
      <c r="D13" s="6" t="s">
        <v>79</v>
      </c>
      <c r="E13" s="6" t="s">
        <v>31</v>
      </c>
      <c r="F13" s="6" t="s">
        <v>22</v>
      </c>
      <c r="G13" s="6" t="s">
        <v>32</v>
      </c>
      <c r="H13" s="6" t="s">
        <v>80</v>
      </c>
      <c r="I13" s="6" t="s">
        <v>24</v>
      </c>
      <c r="J13" s="7" t="str">
        <f t="shared" si="0"/>
        <v>Ta upp nu</v>
      </c>
      <c r="K13" s="6"/>
      <c r="L13" s="6"/>
      <c r="M13" s="6"/>
      <c r="N13" s="6" t="s">
        <v>81</v>
      </c>
      <c r="O13" s="5" t="s">
        <v>26</v>
      </c>
    </row>
    <row r="14" spans="1:15" ht="78.05" customHeight="1" x14ac:dyDescent="0.3">
      <c r="A14" s="5" t="s">
        <v>82</v>
      </c>
      <c r="B14" s="6" t="s">
        <v>83</v>
      </c>
      <c r="C14" s="6" t="s">
        <v>84</v>
      </c>
      <c r="D14" s="6" t="s">
        <v>85</v>
      </c>
      <c r="E14" s="6" t="s">
        <v>31</v>
      </c>
      <c r="F14" s="6" t="s">
        <v>22</v>
      </c>
      <c r="G14" s="6" t="s">
        <v>32</v>
      </c>
      <c r="H14" s="6" t="s">
        <v>86</v>
      </c>
      <c r="I14" s="6" t="s">
        <v>24</v>
      </c>
      <c r="J14" s="7" t="str">
        <f t="shared" si="0"/>
        <v>Ta upp nu</v>
      </c>
      <c r="K14" s="6"/>
      <c r="L14" s="6"/>
      <c r="M14" s="6"/>
      <c r="N14" s="6" t="s">
        <v>87</v>
      </c>
      <c r="O14" s="5" t="s">
        <v>26</v>
      </c>
    </row>
    <row r="15" spans="1:15" ht="78.05" customHeight="1" x14ac:dyDescent="0.3">
      <c r="A15" s="5" t="s">
        <v>88</v>
      </c>
      <c r="B15" s="6" t="s">
        <v>89</v>
      </c>
      <c r="C15" s="6" t="s">
        <v>90</v>
      </c>
      <c r="D15" s="6" t="s">
        <v>91</v>
      </c>
      <c r="E15" s="6" t="s">
        <v>61</v>
      </c>
      <c r="F15" s="6" t="s">
        <v>22</v>
      </c>
      <c r="G15" s="6" t="s">
        <v>22</v>
      </c>
      <c r="H15" s="6" t="s">
        <v>92</v>
      </c>
      <c r="I15" s="6" t="s">
        <v>42</v>
      </c>
      <c r="J15" s="7" t="str">
        <f t="shared" si="0"/>
        <v>Bevaka fönster</v>
      </c>
      <c r="K15" s="6"/>
      <c r="L15" s="6"/>
      <c r="M15" s="6"/>
      <c r="N15" s="6" t="s">
        <v>93</v>
      </c>
      <c r="O15" s="5" t="s">
        <v>26</v>
      </c>
    </row>
    <row r="16" spans="1:15" ht="78.05" customHeight="1" x14ac:dyDescent="0.3">
      <c r="A16" s="5" t="s">
        <v>94</v>
      </c>
      <c r="B16" s="6" t="s">
        <v>95</v>
      </c>
      <c r="C16" s="6" t="s">
        <v>96</v>
      </c>
      <c r="D16" s="6" t="s">
        <v>97</v>
      </c>
      <c r="E16" s="6" t="s">
        <v>31</v>
      </c>
      <c r="F16" s="6" t="s">
        <v>22</v>
      </c>
      <c r="G16" s="6" t="s">
        <v>22</v>
      </c>
      <c r="H16" s="6" t="s">
        <v>98</v>
      </c>
      <c r="I16" s="6" t="s">
        <v>42</v>
      </c>
      <c r="J16" s="7" t="str">
        <f t="shared" si="0"/>
        <v>Bevaka fönster</v>
      </c>
      <c r="K16" s="6"/>
      <c r="L16" s="6"/>
      <c r="M16" s="6"/>
      <c r="N16" s="6" t="s">
        <v>99</v>
      </c>
      <c r="O16" s="5" t="s">
        <v>26</v>
      </c>
    </row>
    <row r="17" spans="1:15" ht="78.05" customHeight="1" x14ac:dyDescent="0.3">
      <c r="A17" s="5" t="s">
        <v>100</v>
      </c>
      <c r="B17" s="6" t="s">
        <v>101</v>
      </c>
      <c r="C17" s="6" t="s">
        <v>102</v>
      </c>
      <c r="D17" s="6" t="s">
        <v>103</v>
      </c>
      <c r="E17" s="6" t="s">
        <v>21</v>
      </c>
      <c r="F17" s="6" t="s">
        <v>32</v>
      </c>
      <c r="G17" s="6" t="s">
        <v>22</v>
      </c>
      <c r="H17" s="6" t="s">
        <v>104</v>
      </c>
      <c r="I17" s="6" t="s">
        <v>24</v>
      </c>
      <c r="J17" s="7" t="str">
        <f t="shared" si="0"/>
        <v>Ta upp nu</v>
      </c>
      <c r="K17" s="6"/>
      <c r="L17" s="6"/>
      <c r="M17" s="6"/>
      <c r="N17" s="6" t="s">
        <v>105</v>
      </c>
      <c r="O17" s="5" t="s">
        <v>26</v>
      </c>
    </row>
    <row r="18" spans="1:15" ht="78.05" customHeight="1" x14ac:dyDescent="0.3">
      <c r="A18" s="5" t="s">
        <v>106</v>
      </c>
      <c r="B18" s="6" t="s">
        <v>107</v>
      </c>
      <c r="C18" s="6" t="s">
        <v>108</v>
      </c>
      <c r="D18" s="6" t="s">
        <v>109</v>
      </c>
      <c r="E18" s="6" t="s">
        <v>31</v>
      </c>
      <c r="F18" s="6" t="s">
        <v>22</v>
      </c>
      <c r="G18" s="6" t="s">
        <v>22</v>
      </c>
      <c r="H18" s="6" t="s">
        <v>110</v>
      </c>
      <c r="I18" s="6" t="s">
        <v>34</v>
      </c>
      <c r="J18" s="7" t="str">
        <f t="shared" si="0"/>
        <v>Bevaka fönster</v>
      </c>
      <c r="K18" s="6"/>
      <c r="L18" s="6"/>
      <c r="M18" s="6"/>
      <c r="N18" s="6" t="s">
        <v>111</v>
      </c>
      <c r="O18" s="5" t="s">
        <v>26</v>
      </c>
    </row>
    <row r="19" spans="1:15" ht="78.05" customHeight="1" x14ac:dyDescent="0.3">
      <c r="A19" s="5" t="s">
        <v>112</v>
      </c>
      <c r="B19" s="6" t="s">
        <v>113</v>
      </c>
      <c r="C19" s="6" t="s">
        <v>114</v>
      </c>
      <c r="D19" s="6" t="s">
        <v>115</v>
      </c>
      <c r="E19" s="6" t="s">
        <v>61</v>
      </c>
      <c r="F19" s="6" t="s">
        <v>32</v>
      </c>
      <c r="G19" s="6" t="s">
        <v>32</v>
      </c>
      <c r="H19" s="6" t="s">
        <v>116</v>
      </c>
      <c r="I19" s="6" t="s">
        <v>24</v>
      </c>
      <c r="J19" s="7" t="str">
        <f t="shared" si="0"/>
        <v>Ta upp nu</v>
      </c>
      <c r="K19" s="6"/>
      <c r="L19" s="6"/>
      <c r="M19" s="6"/>
      <c r="N19" s="6" t="s">
        <v>117</v>
      </c>
      <c r="O19" s="5" t="s">
        <v>26</v>
      </c>
    </row>
    <row r="20" spans="1:15" ht="78.05" customHeight="1" x14ac:dyDescent="0.3">
      <c r="A20" s="5" t="s">
        <v>118</v>
      </c>
      <c r="B20" s="6" t="s">
        <v>119</v>
      </c>
      <c r="C20" s="6" t="s">
        <v>120</v>
      </c>
      <c r="D20" s="6" t="s">
        <v>121</v>
      </c>
      <c r="E20" s="6" t="s">
        <v>61</v>
      </c>
      <c r="F20" s="6" t="s">
        <v>32</v>
      </c>
      <c r="G20" s="6" t="s">
        <v>22</v>
      </c>
      <c r="H20" s="6" t="s">
        <v>122</v>
      </c>
      <c r="I20" s="6" t="s">
        <v>49</v>
      </c>
      <c r="J20" s="7" t="str">
        <f t="shared" si="0"/>
        <v>Parkera</v>
      </c>
      <c r="K20" s="6"/>
      <c r="L20" s="6"/>
      <c r="M20" s="6"/>
      <c r="N20" s="6" t="s">
        <v>123</v>
      </c>
      <c r="O20" s="5" t="s">
        <v>26</v>
      </c>
    </row>
    <row r="21" spans="1:15" ht="78.05" customHeight="1" x14ac:dyDescent="0.3">
      <c r="A21" s="5" t="s">
        <v>124</v>
      </c>
      <c r="B21" s="6" t="s">
        <v>125</v>
      </c>
      <c r="C21" s="6" t="s">
        <v>126</v>
      </c>
      <c r="D21" s="6" t="s">
        <v>127</v>
      </c>
      <c r="E21" s="6" t="s">
        <v>31</v>
      </c>
      <c r="F21" s="6" t="s">
        <v>32</v>
      </c>
      <c r="G21" s="6" t="s">
        <v>22</v>
      </c>
      <c r="H21" s="6" t="s">
        <v>128</v>
      </c>
      <c r="I21" s="6" t="s">
        <v>24</v>
      </c>
      <c r="J21" s="7" t="str">
        <f t="shared" si="0"/>
        <v>Ta upp nu</v>
      </c>
      <c r="K21" s="6"/>
      <c r="L21" s="6"/>
      <c r="M21" s="6"/>
      <c r="N21" s="6" t="s">
        <v>129</v>
      </c>
      <c r="O21" s="5" t="s">
        <v>26</v>
      </c>
    </row>
    <row r="22" spans="1:15" ht="78.05" customHeight="1" x14ac:dyDescent="0.3">
      <c r="A22" s="5" t="s">
        <v>130</v>
      </c>
      <c r="B22" s="6" t="s">
        <v>131</v>
      </c>
      <c r="C22" s="6" t="s">
        <v>132</v>
      </c>
      <c r="D22" s="6" t="s">
        <v>133</v>
      </c>
      <c r="E22" s="6" t="s">
        <v>31</v>
      </c>
      <c r="F22" s="6" t="s">
        <v>22</v>
      </c>
      <c r="G22" s="6" t="s">
        <v>40</v>
      </c>
      <c r="H22" s="6" t="s">
        <v>134</v>
      </c>
      <c r="I22" s="6" t="s">
        <v>42</v>
      </c>
      <c r="J22" s="7" t="str">
        <f t="shared" si="0"/>
        <v>Bevaka fönster</v>
      </c>
      <c r="K22" s="6"/>
      <c r="L22" s="6"/>
      <c r="M22" s="6"/>
      <c r="N22" s="6" t="s">
        <v>135</v>
      </c>
      <c r="O22" s="5" t="s">
        <v>26</v>
      </c>
    </row>
    <row r="23" spans="1:15" ht="78.05" customHeight="1" x14ac:dyDescent="0.3">
      <c r="A23" s="5" t="s">
        <v>136</v>
      </c>
      <c r="B23" s="6" t="s">
        <v>137</v>
      </c>
      <c r="C23" s="6" t="s">
        <v>138</v>
      </c>
      <c r="D23" s="6" t="s">
        <v>139</v>
      </c>
      <c r="E23" s="6" t="s">
        <v>31</v>
      </c>
      <c r="F23" s="6" t="s">
        <v>22</v>
      </c>
      <c r="G23" s="6" t="s">
        <v>40</v>
      </c>
      <c r="H23" s="6" t="s">
        <v>140</v>
      </c>
      <c r="I23" s="6" t="s">
        <v>42</v>
      </c>
      <c r="J23" s="7" t="str">
        <f t="shared" si="0"/>
        <v>Bevaka fönster</v>
      </c>
      <c r="K23" s="6"/>
      <c r="L23" s="6"/>
      <c r="M23" s="6"/>
      <c r="N23" s="6" t="s">
        <v>141</v>
      </c>
      <c r="O23" s="5" t="s">
        <v>26</v>
      </c>
    </row>
    <row r="24" spans="1:15" ht="78.05" customHeight="1" x14ac:dyDescent="0.3">
      <c r="A24" s="5" t="s">
        <v>142</v>
      </c>
      <c r="B24" s="6" t="s">
        <v>143</v>
      </c>
      <c r="C24" s="6" t="s">
        <v>144</v>
      </c>
      <c r="D24" s="6" t="s">
        <v>145</v>
      </c>
      <c r="E24" s="6" t="s">
        <v>31</v>
      </c>
      <c r="F24" s="6" t="s">
        <v>22</v>
      </c>
      <c r="G24" s="6" t="s">
        <v>22</v>
      </c>
      <c r="H24" s="6" t="s">
        <v>146</v>
      </c>
      <c r="I24" s="6" t="s">
        <v>42</v>
      </c>
      <c r="J24" s="7" t="str">
        <f t="shared" si="0"/>
        <v>Bevaka fönster</v>
      </c>
      <c r="K24" s="6"/>
      <c r="L24" s="6"/>
      <c r="M24" s="6"/>
      <c r="N24" s="6" t="s">
        <v>147</v>
      </c>
      <c r="O24" s="5" t="s">
        <v>26</v>
      </c>
    </row>
    <row r="25" spans="1:15" ht="78.05" customHeight="1" x14ac:dyDescent="0.3">
      <c r="A25" s="5" t="s">
        <v>148</v>
      </c>
      <c r="B25" s="6" t="s">
        <v>149</v>
      </c>
      <c r="C25" s="6" t="s">
        <v>150</v>
      </c>
      <c r="D25" s="6" t="s">
        <v>151</v>
      </c>
      <c r="E25" s="6" t="s">
        <v>152</v>
      </c>
      <c r="F25" s="6" t="s">
        <v>32</v>
      </c>
      <c r="G25" s="6" t="s">
        <v>40</v>
      </c>
      <c r="H25" s="6" t="s">
        <v>153</v>
      </c>
      <c r="I25" s="6" t="s">
        <v>24</v>
      </c>
      <c r="J25" s="7" t="str">
        <f t="shared" si="0"/>
        <v>Parkera</v>
      </c>
      <c r="K25" s="6"/>
      <c r="L25" s="6"/>
      <c r="M25" s="6"/>
      <c r="N25" s="6" t="s">
        <v>154</v>
      </c>
      <c r="O25" s="5" t="s">
        <v>26</v>
      </c>
    </row>
    <row r="26" spans="1:15" ht="78.05" customHeight="1" x14ac:dyDescent="0.3">
      <c r="A26" s="5" t="s">
        <v>155</v>
      </c>
      <c r="B26" s="6" t="s">
        <v>156</v>
      </c>
      <c r="C26" s="6" t="s">
        <v>157</v>
      </c>
      <c r="D26" s="6" t="s">
        <v>158</v>
      </c>
      <c r="E26" s="6" t="s">
        <v>152</v>
      </c>
      <c r="F26" s="6" t="s">
        <v>22</v>
      </c>
      <c r="G26" s="6" t="s">
        <v>40</v>
      </c>
      <c r="H26" s="6" t="s">
        <v>159</v>
      </c>
      <c r="I26" s="6" t="s">
        <v>34</v>
      </c>
      <c r="J26" s="7" t="str">
        <f t="shared" si="0"/>
        <v>Bevaka fönster</v>
      </c>
      <c r="K26" s="6"/>
      <c r="L26" s="6"/>
      <c r="M26" s="6"/>
      <c r="N26" s="6" t="s">
        <v>160</v>
      </c>
      <c r="O26" s="5" t="s">
        <v>26</v>
      </c>
    </row>
    <row r="27" spans="1:15" ht="78.05" customHeight="1" x14ac:dyDescent="0.3">
      <c r="A27" s="5" t="s">
        <v>161</v>
      </c>
      <c r="B27" s="6" t="s">
        <v>162</v>
      </c>
      <c r="C27" s="6" t="s">
        <v>163</v>
      </c>
      <c r="D27" s="6" t="s">
        <v>164</v>
      </c>
      <c r="E27" s="6" t="s">
        <v>152</v>
      </c>
      <c r="F27" s="6" t="s">
        <v>32</v>
      </c>
      <c r="G27" s="6" t="s">
        <v>22</v>
      </c>
      <c r="H27" s="6" t="s">
        <v>165</v>
      </c>
      <c r="I27" s="6" t="s">
        <v>42</v>
      </c>
      <c r="J27" s="7" t="str">
        <f t="shared" si="0"/>
        <v>Parkera</v>
      </c>
      <c r="K27" s="6"/>
      <c r="L27" s="6"/>
      <c r="M27" s="6"/>
      <c r="N27" s="6" t="s">
        <v>166</v>
      </c>
      <c r="O27" s="5" t="s">
        <v>26</v>
      </c>
    </row>
    <row r="28" spans="1:15" ht="78.05" customHeight="1" x14ac:dyDescent="0.3">
      <c r="A28" s="5" t="s">
        <v>167</v>
      </c>
      <c r="B28" s="6" t="s">
        <v>168</v>
      </c>
      <c r="C28" s="6" t="s">
        <v>169</v>
      </c>
      <c r="D28" s="6" t="s">
        <v>170</v>
      </c>
      <c r="E28" s="6" t="s">
        <v>152</v>
      </c>
      <c r="F28" s="6" t="s">
        <v>32</v>
      </c>
      <c r="G28" s="6" t="s">
        <v>22</v>
      </c>
      <c r="H28" s="6" t="s">
        <v>171</v>
      </c>
      <c r="I28" s="6" t="s">
        <v>24</v>
      </c>
      <c r="J28" s="7" t="str">
        <f t="shared" si="0"/>
        <v>Ta upp nu</v>
      </c>
      <c r="K28" s="6"/>
      <c r="L28" s="6"/>
      <c r="M28" s="6"/>
      <c r="N28" s="6" t="s">
        <v>172</v>
      </c>
      <c r="O28" s="5" t="s">
        <v>26</v>
      </c>
    </row>
    <row r="29" spans="1:15" ht="78.05" customHeight="1" x14ac:dyDescent="0.3">
      <c r="A29" s="5" t="s">
        <v>173</v>
      </c>
      <c r="B29" s="6" t="s">
        <v>174</v>
      </c>
      <c r="C29" s="6" t="s">
        <v>175</v>
      </c>
      <c r="D29" s="6" t="s">
        <v>176</v>
      </c>
      <c r="E29" s="6" t="s">
        <v>21</v>
      </c>
      <c r="F29" s="6" t="s">
        <v>40</v>
      </c>
      <c r="G29" s="6" t="s">
        <v>22</v>
      </c>
      <c r="H29" s="6" t="s">
        <v>177</v>
      </c>
      <c r="I29" s="6" t="s">
        <v>24</v>
      </c>
      <c r="J29" s="7" t="str">
        <f t="shared" si="0"/>
        <v>Parkera</v>
      </c>
      <c r="K29" s="6"/>
      <c r="L29" s="6"/>
      <c r="M29" s="6"/>
      <c r="N29" s="6" t="s">
        <v>178</v>
      </c>
      <c r="O29" s="5" t="s">
        <v>26</v>
      </c>
    </row>
    <row r="30" spans="1:15" x14ac:dyDescent="0.3" ht="78.05" customHeight="1">
      <c r="A30" s="5" t="inlineStr">
        <is>
          <t xml:space="preserve">HP-026</t>
        </is>
      </c>
      <c r="B30" s="6" t="inlineStr">
        <is>
          <t xml:space="preserve">Redovisning som bara skriver av det befintliga</t>
        </is>
      </c>
      <c r="C30" s="6" t="inlineStr">
        <is>
          <t xml:space="preserve">Linjära avskrivningsmodeller ger befintliga byggnader och anläggningar sjunkande bokfört värde, så bevarande ser sämre ut än nybyggnad.</t>
        </is>
      </c>
      <c r="D30" s="6" t="inlineStr">
        <is>
          <t xml:space="preserve">Regeringen och Bokföringsnämnden (redovisningsregler), fastighets- och infrastrukturägare, revisorer.</t>
        </is>
      </c>
      <c r="E30" s="6" t="inlineStr">
        <is>
          <t xml:space="preserve">1 Cirkulärt byggande</t>
        </is>
      </c>
      <c r="F30" s="6" t="inlineStr">
        <is>
          <t xml:space="preserve">Hög</t>
        </is>
      </c>
      <c r="G30" s="6" t="inlineStr">
        <is>
          <t xml:space="preserve">Låg</t>
        </is>
      </c>
      <c r="H30" s="6" t="inlineStr">
        <is>
          <t xml:space="preserve">Inget beslutsläge hittat. Rapporten föreslår ny redovisningspraxis som tar hänsyn till bibehållet värde. Säkerhet: låg, inte kontrollerat.</t>
        </is>
      </c>
      <c r="I30" s="6" t="inlineStr">
        <is>
          <t xml:space="preserve">Vet ej</t>
        </is>
      </c>
      <c r="J30" s="7" t="str">
        <f t="shared" si="0"/>
        <v>Bevaka fönster</v>
      </c>
      <c r="K30" s="6"/>
      <c r="L30" s="6"/>
      <c r="M30" s="6"/>
      <c r="N30" s="6" t="inlineStr">
        <is>
          <t xml:space="preserve">Fördjupad strategi skifte 1, ShiftSweden 2024-12-20, avsnitt 5.1
Bedömning: preliminär, gjord av Claude utifrån rapporten; gruppen avgör.</t>
        </is>
      </c>
      <c r="O30" s="5" t="inlineStr">
        <is>
          <t xml:space="preserve">2026-10-26</t>
        </is>
      </c>
    </row>
    <row r="31" spans="1:15" x14ac:dyDescent="0.3" ht="78.05" customHeight="1">
      <c r="A31" s="5" t="inlineStr">
        <is>
          <t xml:space="preserve">HP-027</t>
        </is>
      </c>
      <c r="B31" s="6" t="inlineStr">
        <is>
          <t xml:space="preserve">Bevisbörda och inventering före rivning</t>
        </is>
      </c>
      <c r="C31" s="6" t="inlineStr">
        <is>
          <t xml:space="preserve">Den som river behöver inte visa att rivning är bäst ur livscykelperspektiv; BBR:s krav på materialinventering efterlevs dåligt och tillsynen är svag.</t>
        </is>
      </c>
      <c r="D31" s="6" t="inlineStr">
        <is>
          <t xml:space="preserve">Regeringen (PBL), Boverket, kommunernas byggnadsnämnder.</t>
        </is>
      </c>
      <c r="E31" s="6" t="inlineStr">
        <is>
          <t xml:space="preserve">1 Cirkulärt byggande</t>
        </is>
      </c>
      <c r="F31" s="6" t="inlineStr">
        <is>
          <t xml:space="preserve">Hög</t>
        </is>
      </c>
      <c r="G31" s="6" t="inlineStr">
        <is>
          <t xml:space="preserve">Medel</t>
        </is>
      </c>
      <c r="H31" s="6" t="inlineStr">
        <is>
          <t xml:space="preserve">Inget beslutsläge hittat. Rapporten föreslår obligatorisk värdering och genomförbarhetsbedömning före rivningslov. Säkerhet: låg, inte kontrollerat.</t>
        </is>
      </c>
      <c r="I31" s="6" t="inlineStr">
        <is>
          <t xml:space="preserve">Vet ej</t>
        </is>
      </c>
      <c r="J31" s="7" t="str">
        <f t="shared" si="0"/>
        <v>Bevaka fönster</v>
      </c>
      <c r="K31" s="6"/>
      <c r="L31" s="6"/>
      <c r="M31" s="6"/>
      <c r="N31" s="6" t="inlineStr">
        <is>
          <t xml:space="preserve">Fördjupad strategi skifte 1, ShiftSweden 2024-12-20, avsnitt 5.2 och 5.3
Bedömning: preliminär, gjord av Claude utifrån rapporten; gruppen avgör.</t>
        </is>
      </c>
      <c r="O31" s="5" t="inlineStr">
        <is>
          <t xml:space="preserve">2026-10-26</t>
        </is>
      </c>
    </row>
    <row r="32" spans="1:15" x14ac:dyDescent="0.3" ht="78.05" customHeight="1">
      <c r="A32" s="5" t="inlineStr">
        <is>
          <t xml:space="preserve">HP-028</t>
        </is>
      </c>
      <c r="B32" s="6" t="inlineStr">
        <is>
          <t xml:space="preserve">Lokaler till bostäder hindras av nybyggnadskrav</t>
        </is>
      </c>
      <c r="C32" s="6" t="inlineStr">
        <is>
          <t xml:space="preserve">Ombyggnad möter samma kravnivå som nyproduktion och detaljplaner tillåter sällan bostäder i lokaler, trots överskott på kontor och brist på bostäder.</t>
        </is>
      </c>
      <c r="D32" s="6" t="inlineStr">
        <is>
          <t xml:space="preserve">Boverket, kommuner (detaljplaner), fastighetsägare.</t>
        </is>
      </c>
      <c r="E32" s="6" t="inlineStr">
        <is>
          <t xml:space="preserve">1 Cirkulärt byggande</t>
        </is>
      </c>
      <c r="F32" s="6" t="inlineStr">
        <is>
          <t xml:space="preserve">Hög</t>
        </is>
      </c>
      <c r="G32" s="6" t="inlineStr">
        <is>
          <t xml:space="preserve">Medel</t>
        </is>
      </c>
      <c r="H32" s="6" t="inlineStr">
        <is>
          <t xml:space="preserve">Rapporten nämner Boverkets uppdrag att se över sänkta byggkrav när lokaler byggs om till bostäder. Status ej kontrollerad. Säkerhet: låg.</t>
        </is>
      </c>
      <c r="I32" s="6" t="inlineStr">
        <is>
          <t xml:space="preserve">Vet ej</t>
        </is>
      </c>
      <c r="J32" s="7" t="str">
        <f t="shared" si="0"/>
        <v>Bevaka fönster</v>
      </c>
      <c r="K32" s="6"/>
      <c r="L32" s="6"/>
      <c r="M32" s="6"/>
      <c r="N32" s="6" t="inlineStr">
        <is>
          <t xml:space="preserve">Fördjupad strategi skifte 1, ShiftSweden 2024-12-20, avsnitt 1.1 och 5.2
Bedömning: preliminär, gjord av Claude utifrån rapporten; gruppen avgör.</t>
        </is>
      </c>
      <c r="O32" s="5" t="inlineStr">
        <is>
          <t xml:space="preserve">2026-10-26</t>
        </is>
      </c>
    </row>
    <row r="33" spans="1:15" x14ac:dyDescent="0.3" ht="78.05" customHeight="1">
      <c r="A33" s="5" t="inlineStr">
        <is>
          <t xml:space="preserve">HP-029</t>
        </is>
      </c>
      <c r="B33" s="6" t="inlineStr">
        <is>
          <t xml:space="preserve">Energieffektivisering i mellanskiktet D och E</t>
        </is>
      </c>
      <c r="C33" s="6" t="inlineStr">
        <is>
          <t xml:space="preserve">EPBD driver upp byggnader i klass F och G och taxonomin gynnar B och C, men för klasserna D och E saknas marknadsmässiga incitament.</t>
        </is>
      </c>
      <c r="D33" s="6" t="inlineStr">
        <is>
          <t xml:space="preserve">Regeringen, Boverket, banker och andra finansiärer (grön finansiering), fastighetsägare.</t>
        </is>
      </c>
      <c r="E33" s="6" t="inlineStr">
        <is>
          <t xml:space="preserve">1 Cirkulärt byggande</t>
        </is>
      </c>
      <c r="F33" s="6" t="inlineStr">
        <is>
          <t xml:space="preserve">Medel</t>
        </is>
      </c>
      <c r="G33" s="6" t="inlineStr">
        <is>
          <t xml:space="preserve">Medel</t>
        </is>
      </c>
      <c r="H33" s="6" t="inlineStr">
        <is>
          <t xml:space="preserve">EU:s omarbetade byggnadsdirektiv (EPBD) ska vara infört i svensk rätt under 2026; rapporten anger 29 maj 2026. Svenska genomförandet ej kontrollerat. Säkerhet: medel.</t>
        </is>
      </c>
      <c r="I33" s="6" t="inlineStr">
        <is>
          <t xml:space="preserve">Öppet nu</t>
        </is>
      </c>
      <c r="J33" s="7" t="str">
        <f t="shared" si="0"/>
        <v>Ta upp nu</v>
      </c>
      <c r="K33" s="6"/>
      <c r="L33" s="6"/>
      <c r="M33" s="6"/>
      <c r="N33" s="6" t="inlineStr">
        <is>
          <t xml:space="preserve">Fördjupad strategi skifte 1, ShiftSweden 2024-12-20, avsnitt 1.1 och 5.6
Bedömning: preliminär, gjord av Claude utifrån rapporten; gruppen avgör.</t>
        </is>
      </c>
      <c r="O33" s="5" t="inlineStr">
        <is>
          <t xml:space="preserve">2026-10-26</t>
        </is>
      </c>
    </row>
    <row r="34" spans="1:15" x14ac:dyDescent="0.3" ht="78.05" customHeight="1">
      <c r="A34" s="5" t="inlineStr">
        <is>
          <t xml:space="preserve">HP-030</t>
        </is>
      </c>
      <c r="B34" s="6" t="inlineStr">
        <is>
          <t xml:space="preserve">Producentansvar och återtagning av byggmaterial</t>
        </is>
      </c>
      <c r="C34" s="6" t="inlineStr">
        <is>
          <t xml:space="preserve">Återbruksmarknaden är lokal och splittrad; ingen tar tillbaka, kvalitetssäkrar och säljer återbrukat material parallellt med nytt.</t>
        </is>
      </c>
      <c r="D34" s="6" t="inlineStr">
        <is>
          <t xml:space="preserve">Byggmaterialföretag, byggherrar, Naturvårdsverket och regeringen (producentansvar).</t>
        </is>
      </c>
      <c r="E34" s="6" t="inlineStr">
        <is>
          <t xml:space="preserve">1 Cirkulärt byggande</t>
        </is>
      </c>
      <c r="F34" s="6" t="inlineStr">
        <is>
          <t xml:space="preserve">Medel</t>
        </is>
      </c>
      <c r="G34" s="6" t="inlineStr">
        <is>
          <t xml:space="preserve">Medel</t>
        </is>
      </c>
      <c r="H34" s="6" t="inlineStr">
        <is>
          <t xml:space="preserve">Inget beslutsläge hittat. Närliggande: HP-024 om kvalitetsansvar och data. Säkerhet: låg.</t>
        </is>
      </c>
      <c r="I34" s="6" t="inlineStr">
        <is>
          <t xml:space="preserve">Vet ej</t>
        </is>
      </c>
      <c r="J34" s="7" t="str">
        <f t="shared" si="0"/>
        <v>Parkera</v>
      </c>
      <c r="K34" s="6"/>
      <c r="L34" s="6"/>
      <c r="M34" s="6"/>
      <c r="N34" s="6" t="inlineStr">
        <is>
          <t xml:space="preserve">Fördjupad strategi skifte 1, ShiftSweden 2024-12-20, avsnitt 5.3 och 5.4.3
Bedömning: preliminär, gjord av Claude utifrån rapporten; gruppen avgör.</t>
        </is>
      </c>
      <c r="O34" s="5" t="inlineStr">
        <is>
          <t xml:space="preserve">2026-10-26</t>
        </is>
      </c>
    </row>
    <row r="35" spans="1:15" x14ac:dyDescent="0.3" ht="78.05" customHeight="1">
      <c r="A35" s="5" t="inlineStr">
        <is>
          <t xml:space="preserve">HP-031</t>
        </is>
      </c>
      <c r="B35" s="6" t="inlineStr">
        <is>
          <t xml:space="preserve">Schaktmassor som resurs i stället för avfall</t>
        </is>
      </c>
      <c r="C35" s="6" t="inlineStr">
        <is>
          <t xml:space="preserve">Transporter av schaktmassor står för en stor del av anläggningsprojektens påverkan, och regelverken försvårar att massorna används nära där de uppstår.</t>
        </is>
      </c>
      <c r="D35" s="6" t="inlineStr">
        <is>
          <t xml:space="preserve">Trafikverket, Naturvårdsverket, kommuner, entreprenörer.</t>
        </is>
      </c>
      <c r="E35" s="6" t="inlineStr">
        <is>
          <t xml:space="preserve">1 Cirkulärt byggande</t>
        </is>
      </c>
      <c r="F35" s="6" t="inlineStr">
        <is>
          <t xml:space="preserve">Medel</t>
        </is>
      </c>
      <c r="G35" s="6" t="inlineStr">
        <is>
          <t xml:space="preserve">Hög</t>
        </is>
      </c>
      <c r="H35" s="6" t="inlineStr">
        <is>
          <t xml:space="preserve">Inget beslutsläge hittat. Säkerhet: låg.</t>
        </is>
      </c>
      <c r="I35" s="6" t="inlineStr">
        <is>
          <t xml:space="preserve">Vet ej</t>
        </is>
      </c>
      <c r="J35" s="7" t="str">
        <f t="shared" si="0"/>
        <v>Parkera</v>
      </c>
      <c r="K35" s="6"/>
      <c r="L35" s="6"/>
      <c r="M35" s="6"/>
      <c r="N35" s="6" t="inlineStr">
        <is>
          <t xml:space="preserve">Fördjupad strategi skifte 1, ShiftSweden 2024-12-20, avsnitt 5.3
Bedömning: preliminär, gjord av Claude utifrån rapporten; gruppen avgör.</t>
        </is>
      </c>
      <c r="O35" s="5" t="inlineStr">
        <is>
          <t xml:space="preserve">2026-10-26</t>
        </is>
      </c>
    </row>
    <row r="36" spans="1:15" x14ac:dyDescent="0.3" ht="78.05" customHeight="1">
      <c r="A36" s="5" t="inlineStr">
        <is>
          <t xml:space="preserve">HP-032</t>
        </is>
      </c>
      <c r="B36" s="6" t="inlineStr">
        <is>
          <t xml:space="preserve">Samnyttjande av lokaler</t>
        </is>
      </c>
      <c r="C36" s="6" t="inlineStr">
        <is>
          <t xml:space="preserve">Kontor, skolor och andra lokaler står tomma stora delar av dygnet, men avtal, mätetal och stödsystem för delning saknas.</t>
        </is>
      </c>
      <c r="D36" s="6" t="inlineStr">
        <is>
          <t xml:space="preserve">Offentliga och privata fastighetsägare, kommuner, hyresgäster.</t>
        </is>
      </c>
      <c r="E36" s="6" t="inlineStr">
        <is>
          <t xml:space="preserve">1 Cirkulärt byggande</t>
        </is>
      </c>
      <c r="F36" s="6" t="inlineStr">
        <is>
          <t xml:space="preserve">Medel</t>
        </is>
      </c>
      <c r="G36" s="6" t="inlineStr">
        <is>
          <t xml:space="preserve">Hög</t>
        </is>
      </c>
      <c r="H36" s="6" t="inlineStr">
        <is>
          <t xml:space="preserve">Inget beslutsläge hittat. Rapporten föreslår mätning av energi per nyttjandetimme som incitament. Säkerhet: låg.</t>
        </is>
      </c>
      <c r="I36" s="6" t="inlineStr">
        <is>
          <t xml:space="preserve">Vet ej</t>
        </is>
      </c>
      <c r="J36" s="7" t="str">
        <f t="shared" si="0"/>
        <v>Parkera</v>
      </c>
      <c r="K36" s="6"/>
      <c r="L36" s="6"/>
      <c r="M36" s="6"/>
      <c r="N36" s="6" t="inlineStr">
        <is>
          <t xml:space="preserve">Fördjupad strategi skifte 1, ShiftSweden 2024-12-20, avsnitt 5.2
Bedömning: preliminär, gjord av Claude utifrån rapporten; gruppen avgör.</t>
        </is>
      </c>
      <c r="O36" s="5" t="inlineStr">
        <is>
          <t xml:space="preserve">2026-10-26</t>
        </is>
      </c>
    </row>
    <row r="37" spans="1:15" x14ac:dyDescent="0.3" ht="78.05" customHeight="1">
      <c r="A37" s="5" t="inlineStr">
        <is>
          <t xml:space="preserve">HP-033</t>
        </is>
      </c>
      <c r="B37" s="6" t="inlineStr">
        <is>
          <t xml:space="preserve">Offentliga byggherrar går före med återbruk</t>
        </is>
      </c>
      <c r="C37" s="6" t="inlineStr">
        <is>
          <t xml:space="preserve">Återbruk sker mest i enskilda projekt med särskilda krav; upphandlingar och affärsmodeller premierar ännu inte cirkulär hantering.</t>
        </is>
      </c>
      <c r="D37" s="6" t="inlineStr">
        <is>
          <t xml:space="preserve">Offentliga byggherrar, Trafikverket, Upphandlingsmyndigheten.</t>
        </is>
      </c>
      <c r="E37" s="6" t="inlineStr">
        <is>
          <t xml:space="preserve">1 Cirkulärt byggande</t>
        </is>
      </c>
      <c r="F37" s="6" t="inlineStr">
        <is>
          <t xml:space="preserve">Hög</t>
        </is>
      </c>
      <c r="G37" s="6" t="inlineStr">
        <is>
          <t xml:space="preserve">Hög</t>
        </is>
      </c>
      <c r="H37" s="6" t="inlineStr">
        <is>
          <t xml:space="preserve">Inget beslutsläge hittat. Rapporten nämner Trafikverkets förslag om upphandling som styrmedel för cirkulärt byggande. Säkerhet: låg.</t>
        </is>
      </c>
      <c r="I37" s="6" t="inlineStr">
        <is>
          <t xml:space="preserve">Vet ej</t>
        </is>
      </c>
      <c r="J37" s="7" t="str">
        <f t="shared" ref="J37:J68" si="1">IF(B37="","",IF(AND(I37="Öppet nu",F37&lt;&gt;"Låg",G37&lt;&gt;"Låg"),"Ta upp nu",IF(F37="Hög","Bevaka fönster","Parkera")))</f>
        <v>Bevaka fönster</v>
      </c>
      <c r="K37" s="6"/>
      <c r="L37" s="6"/>
      <c r="M37" s="6"/>
      <c r="N37" s="6" t="inlineStr">
        <is>
          <t xml:space="preserve">Fördjupad strategi skifte 1, ShiftSweden 2024-12-20, avsnitt 1.1 och 5.3
Bedömning: preliminär, gjord av Claude utifrån rapporten; gruppen avgör.</t>
        </is>
      </c>
      <c r="O37" s="5" t="inlineStr">
        <is>
          <t xml:space="preserve">2026-10-26</t>
        </is>
      </c>
    </row>
    <row r="38" spans="1:15" x14ac:dyDescent="0.3" ht="78.05" customHeight="1">
      <c r="A38" s="5" t="inlineStr">
        <is>
          <t xml:space="preserve">HP-034</t>
        </is>
      </c>
      <c r="B38" s="6" t="inlineStr">
        <is>
          <t xml:space="preserve">Parkeringstal som låser markanvändningen</t>
        </is>
      </c>
      <c r="C38" s="6" t="inlineStr">
        <is>
          <t xml:space="preserve">Parkeringsnormer i detaljplaner driver upp boendekostnader, tar mark från bostäder och grönska och gör bilen till standardval.</t>
        </is>
      </c>
      <c r="D38" s="6" t="inlineStr">
        <is>
          <t xml:space="preserve">Kommuner (parkeringsnormer och detaljplaner), byggherrar.</t>
        </is>
      </c>
      <c r="E38" s="6" t="inlineStr">
        <is>
          <t xml:space="preserve">3 Byggd miljö möter mobilitet</t>
        </is>
      </c>
      <c r="F38" s="6" t="inlineStr">
        <is>
          <t xml:space="preserve">Hög</t>
        </is>
      </c>
      <c r="G38" s="6" t="inlineStr">
        <is>
          <t xml:space="preserve">Hög</t>
        </is>
      </c>
      <c r="H38" s="6" t="inlineStr">
        <is>
          <t xml:space="preserve">Inget samlat beslutsläge hittat; kommunerna beslutar om sina normer löpande. Närliggande: HP-012 och HP-018. Säkerhet: låg.</t>
        </is>
      </c>
      <c r="I38" s="6" t="inlineStr">
        <is>
          <t xml:space="preserve">Vet ej</t>
        </is>
      </c>
      <c r="J38" s="7" t="str">
        <f t="shared" si="1"/>
        <v>Bevaka fönster</v>
      </c>
      <c r="K38" s="6"/>
      <c r="L38" s="6"/>
      <c r="M38" s="6"/>
      <c r="N38" s="6" t="inlineStr">
        <is>
          <t xml:space="preserve">Fördjupad strategi skifte 2, ShiftSweden 2024-12-12, kapitel 5; Fördjupad strategi skifte 3, ShiftSweden 2026-03-18, avsnitt 2.2
Bedömning: preliminär, gjord av Claude utifrån rapporten; gruppen avgör.</t>
        </is>
      </c>
      <c r="O38" s="5" t="inlineStr">
        <is>
          <t xml:space="preserve">2026-10-26</t>
        </is>
      </c>
    </row>
    <row r="39" spans="1:15" x14ac:dyDescent="0.3" ht="78.05" customHeight="1">
      <c r="A39" s="5" t="inlineStr">
        <is>
          <t xml:space="preserve">HP-035</t>
        </is>
      </c>
      <c r="B39" s="6" t="inlineStr">
        <is>
          <t xml:space="preserve">Gatuytor till gång, cykel och kollektivtrafik</t>
        </is>
      </c>
      <c r="C39" s="6" t="inlineStr">
        <is>
          <t xml:space="preserve">Gaturummet är fördelat för bilen; gång minskar i många städer och investeringarna i aktiv mobilitet är blygsamma.</t>
        </is>
      </c>
      <c r="D39" s="6" t="inlineStr">
        <is>
          <t xml:space="preserve">Kommuner (väghållare), regioner, Trafikverket.</t>
        </is>
      </c>
      <c r="E39" s="6" t="inlineStr">
        <is>
          <t xml:space="preserve">2 Ny frihetsreform för resande</t>
        </is>
      </c>
      <c r="F39" s="6" t="inlineStr">
        <is>
          <t xml:space="preserve">Medel</t>
        </is>
      </c>
      <c r="G39" s="6" t="inlineStr">
        <is>
          <t xml:space="preserve">Hög</t>
        </is>
      </c>
      <c r="H39" s="6" t="inlineStr">
        <is>
          <t xml:space="preserve">Inget samlat beslutsläge hittat. Närliggande: HP-017 och HP-019. Säkerhet: låg.</t>
        </is>
      </c>
      <c r="I39" s="6" t="inlineStr">
        <is>
          <t xml:space="preserve">Vet ej</t>
        </is>
      </c>
      <c r="J39" s="7" t="str">
        <f t="shared" si="1"/>
        <v>Parkera</v>
      </c>
      <c r="K39" s="6"/>
      <c r="L39" s="6"/>
      <c r="M39" s="6"/>
      <c r="N39" s="6" t="inlineStr">
        <is>
          <t xml:space="preserve">Fördjupad strategi skifte 2, ShiftSweden 2024-12-12, avsnitt 3.3, 4.1 och kapitel 5
Bedömning: preliminär, gjord av Claude utifrån rapporten; gruppen avgör.</t>
        </is>
      </c>
      <c r="O39" s="5" t="inlineStr">
        <is>
          <t xml:space="preserve">2026-10-26</t>
        </is>
      </c>
    </row>
    <row r="40" spans="1:15" x14ac:dyDescent="0.3" ht="78.05" customHeight="1">
      <c r="A40" s="5" t="inlineStr">
        <is>
          <t xml:space="preserve">HP-036</t>
        </is>
      </c>
      <c r="B40" s="6" t="inlineStr">
        <is>
          <t xml:space="preserve">Oklara regler för samåkning och delade tjänster</t>
        </is>
      </c>
      <c r="C40" s="6" t="inlineStr">
        <is>
          <t xml:space="preserve">Samåkning har inte fått fäste i Sverige och delade tjänster kämpar med lönsamhet, avgifter och oklart regelverk.</t>
        </is>
      </c>
      <c r="D40" s="6" t="inlineStr">
        <is>
          <t xml:space="preserve">Regeringen, Skatteverket, Transportstyrelsen, regioner och kommuner.</t>
        </is>
      </c>
      <c r="E40" s="6" t="inlineStr">
        <is>
          <t xml:space="preserve">2 Ny frihetsreform för resande</t>
        </is>
      </c>
      <c r="F40" s="6" t="inlineStr">
        <is>
          <t xml:space="preserve">Medel</t>
        </is>
      </c>
      <c r="G40" s="6" t="inlineStr">
        <is>
          <t xml:space="preserve">Låg</t>
        </is>
      </c>
      <c r="H40" s="6" t="inlineStr">
        <is>
          <t xml:space="preserve">Inget beslutsläge hittat. Närliggande: HP-012. Säkerhet: låg.</t>
        </is>
      </c>
      <c r="I40" s="6" t="inlineStr">
        <is>
          <t xml:space="preserve">Vet ej</t>
        </is>
      </c>
      <c r="J40" s="7" t="str">
        <f t="shared" si="1"/>
        <v>Parkera</v>
      </c>
      <c r="K40" s="6"/>
      <c r="L40" s="6"/>
      <c r="M40" s="6"/>
      <c r="N40" s="6" t="inlineStr">
        <is>
          <t xml:space="preserve">Fördjupad strategi skifte 2, ShiftSweden 2024-12-12, avsnitt 4.3
Bedömning: preliminär, gjord av Claude utifrån rapporten; gruppen avgör.</t>
        </is>
      </c>
      <c r="O40" s="5" t="inlineStr">
        <is>
          <t xml:space="preserve">2026-10-26</t>
        </is>
      </c>
    </row>
    <row r="41" spans="1:15" x14ac:dyDescent="0.3" ht="78.05" customHeight="1">
      <c r="A41" s="5" t="inlineStr">
        <is>
          <t xml:space="preserve">HP-037</t>
        </is>
      </c>
      <c r="B41" s="6" t="inlineStr">
        <is>
          <t xml:space="preserve">Närhetsprincipen i kommunernas planering</t>
        </is>
      </c>
      <c r="C41" s="6" t="inlineStr">
        <is>
          <t xml:space="preserve">Planeringen utgår från att resandet ska öka; närhet och minskat resbehov är sällan mål i översiktsplaneringen.</t>
        </is>
      </c>
      <c r="D41" s="6" t="inlineStr">
        <is>
          <t xml:space="preserve">Kommuner (översiktsplan och planeringsstrategi), Boverket.</t>
        </is>
      </c>
      <c r="E41" s="6" t="inlineStr">
        <is>
          <t xml:space="preserve">2 Ny frihetsreform för resande</t>
        </is>
      </c>
      <c r="F41" s="6" t="inlineStr">
        <is>
          <t xml:space="preserve">Hög</t>
        </is>
      </c>
      <c r="G41" s="6" t="inlineStr">
        <is>
          <t xml:space="preserve">Hög</t>
        </is>
      </c>
      <c r="H41" s="6" t="inlineStr">
        <is>
          <t xml:space="preserve">Efter valet 2026 ska varje kommunfullmäktige anta en planeringsstrategi för översiktsplanen, senast 24 månader efter valet. Säkerhet: medel, regeln ej kontrollerad mot lagtexten.</t>
        </is>
      </c>
      <c r="I41" s="6" t="inlineStr">
        <is>
          <t xml:space="preserve">Öppet nu</t>
        </is>
      </c>
      <c r="J41" s="7" t="str">
        <f t="shared" si="1"/>
        <v>Ta upp nu</v>
      </c>
      <c r="K41" s="6"/>
      <c r="L41" s="6"/>
      <c r="M41" s="6"/>
      <c r="N41" s="6" t="inlineStr">
        <is>
          <t xml:space="preserve">Fördjupad strategi skifte 2, ShiftSweden 2024-12-12, avsnitt 4.4
Bedömning: preliminär, gjord av Claude utifrån rapporten; gruppen avgör.</t>
        </is>
      </c>
      <c r="O41" s="5" t="inlineStr">
        <is>
          <t xml:space="preserve">2026-10-26</t>
        </is>
      </c>
    </row>
    <row r="42" spans="1:15" x14ac:dyDescent="0.3" ht="78.05" customHeight="1">
      <c r="A42" s="5" t="inlineStr">
        <is>
          <t xml:space="preserve">HP-038</t>
        </is>
      </c>
      <c r="B42" s="6" t="inlineStr">
        <is>
          <t xml:space="preserve">Nationell fysisk planering saknas</t>
        </is>
      </c>
      <c r="C42" s="6" t="inlineStr">
        <is>
          <t xml:space="preserve">Sverige saknar rumslig planering på nationell nivå och nationella intressen vägs inte mot varandra, så kommuner och regioner står utan samlad målbild.</t>
        </is>
      </c>
      <c r="D42" s="6" t="inlineStr">
        <is>
          <t xml:space="preserve">Regeringen, Boverket, länsstyrelser.</t>
        </is>
      </c>
      <c r="E42" s="6" t="inlineStr">
        <is>
          <t xml:space="preserve">3 Byggd miljö möter mobilitet</t>
        </is>
      </c>
      <c r="F42" s="6" t="inlineStr">
        <is>
          <t xml:space="preserve">Hög</t>
        </is>
      </c>
      <c r="G42" s="6" t="inlineStr">
        <is>
          <t xml:space="preserve">Låg</t>
        </is>
      </c>
      <c r="H42" s="6" t="inlineStr">
        <is>
          <t xml:space="preserve">Rapporten hänvisar till Ds 2023:28 Nationell fysisk planering; vidare beredning ej kontrollerad. Närliggande: HP-015. Säkerhet: låg.</t>
        </is>
      </c>
      <c r="I42" s="6" t="inlineStr">
        <is>
          <t xml:space="preserve">Vet ej</t>
        </is>
      </c>
      <c r="J42" s="7" t="str">
        <f t="shared" si="1"/>
        <v>Bevaka fönster</v>
      </c>
      <c r="K42" s="6"/>
      <c r="L42" s="6"/>
      <c r="M42" s="6"/>
      <c r="N42" s="6" t="inlineStr">
        <is>
          <t xml:space="preserve">Fördjupad strategi skifte 3, ShiftSweden 2026-03-18, avsnitt 2.1
Bedömning: preliminär, gjord av Claude utifrån rapporten; gruppen avgör.</t>
        </is>
      </c>
      <c r="O42" s="5" t="inlineStr">
        <is>
          <t xml:space="preserve">2026-10-26</t>
        </is>
      </c>
    </row>
    <row r="43" spans="1:15" x14ac:dyDescent="0.3" ht="78.05" customHeight="1">
      <c r="A43" s="5" t="inlineStr">
        <is>
          <t xml:space="preserve">HP-039</t>
        </is>
      </c>
      <c r="B43" s="6" t="inlineStr">
        <is>
          <t xml:space="preserve">Planering som bara sker när någon betalar</t>
        </is>
      </c>
      <c r="C43" s="6" t="inlineStr">
        <is>
          <t xml:space="preserve">Viktiga avvägningar skjuts till detaljplan och exploateringsavtal där den som orsakar behovet betalar; samhällsvärden utan motpart hanteras inte alls.</t>
        </is>
      </c>
      <c r="D43" s="6" t="inlineStr">
        <is>
          <t xml:space="preserve">Kommuner, regioner, staten.</t>
        </is>
      </c>
      <c r="E43" s="6" t="inlineStr">
        <is>
          <t xml:space="preserve">3 Byggd miljö möter mobilitet</t>
        </is>
      </c>
      <c r="F43" s="6" t="inlineStr">
        <is>
          <t xml:space="preserve">Hög</t>
        </is>
      </c>
      <c r="G43" s="6" t="inlineStr">
        <is>
          <t xml:space="preserve">Medel</t>
        </is>
      </c>
      <c r="H43" s="6" t="inlineStr">
        <is>
          <t xml:space="preserve">Inget beslutsläge hittat. Säkerhet: låg.</t>
        </is>
      </c>
      <c r="I43" s="6" t="inlineStr">
        <is>
          <t xml:space="preserve">Vet ej</t>
        </is>
      </c>
      <c r="J43" s="7" t="str">
        <f t="shared" si="1"/>
        <v>Bevaka fönster</v>
      </c>
      <c r="K43" s="6"/>
      <c r="L43" s="6"/>
      <c r="M43" s="6"/>
      <c r="N43" s="6" t="inlineStr">
        <is>
          <t xml:space="preserve">Fördjupad strategi skifte 3, ShiftSweden 2026-03-18, avsnitt 2.1
Bedömning: preliminär, gjord av Claude utifrån rapporten; gruppen avgör.</t>
        </is>
      </c>
      <c r="O43" s="5" t="inlineStr">
        <is>
          <t xml:space="preserve">2026-10-26</t>
        </is>
      </c>
    </row>
    <row r="44" spans="1:15" x14ac:dyDescent="0.3" ht="78.05" customHeight="1">
      <c r="A44" s="5" t="inlineStr">
        <is>
          <t xml:space="preserve">HP-040</t>
        </is>
      </c>
      <c r="B44" s="6" t="inlineStr">
        <is>
          <t xml:space="preserve">Data som inte delas över sektorsgränser</t>
        </is>
      </c>
      <c r="C44" s="6" t="inlineStr">
        <is>
          <t xml:space="preserve">Geodata, planeringsunderlag och driftdata ligger i silos hos fastighet, infrastruktur, mobilitet och energi; statliga myndigheter ligger efter trots lagkrav.</t>
        </is>
      </c>
      <c r="D44" s="6" t="inlineStr">
        <is>
          <t xml:space="preserve">Lantmäteriet, Boverket, länsstyrelser, kommuner, fastighets- och infrastrukturägare.</t>
        </is>
      </c>
      <c r="E44" s="6" t="inlineStr">
        <is>
          <t xml:space="preserve">3 Byggd miljö möter mobilitet</t>
        </is>
      </c>
      <c r="F44" s="6" t="inlineStr">
        <is>
          <t xml:space="preserve">Medel</t>
        </is>
      </c>
      <c r="G44" s="6" t="inlineStr">
        <is>
          <t xml:space="preserve">Medel</t>
        </is>
      </c>
      <c r="H44" s="6" t="inlineStr">
        <is>
          <t xml:space="preserve">Inget beslutsläge hittat. Säkerhet: låg.</t>
        </is>
      </c>
      <c r="I44" s="6" t="inlineStr">
        <is>
          <t xml:space="preserve">Vet ej</t>
        </is>
      </c>
      <c r="J44" s="7" t="str">
        <f t="shared" si="1"/>
        <v>Parkera</v>
      </c>
      <c r="K44" s="6"/>
      <c r="L44" s="6"/>
      <c r="M44" s="6"/>
      <c r="N44" s="6" t="inlineStr">
        <is>
          <t xml:space="preserve">Fördjupad strategi skifte 3, ShiftSweden 2026-03-18, avsnitt 2.1 och 2.5
Bedömning: preliminär, gjord av Claude utifrån rapporten; gruppen avgör.</t>
        </is>
      </c>
      <c r="O44" s="5" t="inlineStr">
        <is>
          <t xml:space="preserve">2026-10-26</t>
        </is>
      </c>
    </row>
    <row r="45" spans="1:15" x14ac:dyDescent="0.3" ht="78.05" customHeight="1">
      <c r="A45" s="5" t="inlineStr">
        <is>
          <t xml:space="preserve">HP-041</t>
        </is>
      </c>
      <c r="B45" s="6" t="inlineStr">
        <is>
          <t xml:space="preserve">Delade lösningar som försvinner efter projektet</t>
        </is>
      </c>
      <c r="C45" s="6" t="inlineStr">
        <is>
          <t xml:space="preserve">Delning upplevs som osäker eftersom risken ligger på individen och lösningarna ofta upphör när piloten tar slut; ingen äger förvaltningen.</t>
        </is>
      </c>
      <c r="D45" s="6" t="inlineStr">
        <is>
          <t xml:space="preserve">Kommuner, fastighetsägare, kollektivtrafikmyndigheter, försäkringsbolag och finansiärer.</t>
        </is>
      </c>
      <c r="E45" s="6" t="inlineStr">
        <is>
          <t xml:space="preserve">3 Byggd miljö möter mobilitet</t>
        </is>
      </c>
      <c r="F45" s="6" t="inlineStr">
        <is>
          <t xml:space="preserve">Medel</t>
        </is>
      </c>
      <c r="G45" s="6" t="inlineStr">
        <is>
          <t xml:space="preserve">Medel</t>
        </is>
      </c>
      <c r="H45" s="6" t="inlineStr">
        <is>
          <t xml:space="preserve">Inget beslutsläge hittat. Närliggande: HP-001 om lärande som stannar i projekt. Säkerhet: låg.</t>
        </is>
      </c>
      <c r="I45" s="6" t="inlineStr">
        <is>
          <t xml:space="preserve">Vet ej</t>
        </is>
      </c>
      <c r="J45" s="7" t="str">
        <f t="shared" si="1"/>
        <v>Parkera</v>
      </c>
      <c r="K45" s="6"/>
      <c r="L45" s="6"/>
      <c r="M45" s="6"/>
      <c r="N45" s="6" t="inlineStr">
        <is>
          <t xml:space="preserve">Fördjupad strategi skifte 3, ShiftSweden 2026-03-18, avsnitt 2.4
Bedömning: preliminär, gjord av Claude utifrån rapporten; gruppen avgör.</t>
        </is>
      </c>
      <c r="O45" s="5" t="inlineStr">
        <is>
          <t xml:space="preserve">2026-10-26</t>
        </is>
      </c>
    </row>
    <row r="46" spans="1:15" x14ac:dyDescent="0.3" ht="78.05" customHeight="1">
      <c r="A46" s="5" t="inlineStr">
        <is>
          <t xml:space="preserve">HP-042</t>
        </is>
      </c>
      <c r="B46" s="6" t="inlineStr">
        <is>
          <t xml:space="preserve">Mobilitetsnoder i kvarteret</t>
        </is>
      </c>
      <c r="C46" s="6" t="inlineStr">
        <is>
          <t xml:space="preserve">Delade fordon, laddning och lokal energi planeras var för sig, så parkeringsytor låses och kvarteren blir mindre flexibla.</t>
        </is>
      </c>
      <c r="D46" s="6" t="inlineStr">
        <is>
          <t xml:space="preserve">Fastighetsägare, kommuner, elnätsbolag, mobilitetsaktörer.</t>
        </is>
      </c>
      <c r="E46" s="6" t="inlineStr">
        <is>
          <t xml:space="preserve">3 Byggd miljö möter mobilitet</t>
        </is>
      </c>
      <c r="F46" s="6" t="inlineStr">
        <is>
          <t xml:space="preserve">Medel</t>
        </is>
      </c>
      <c r="G46" s="6" t="inlineStr">
        <is>
          <t xml:space="preserve">Hög</t>
        </is>
      </c>
      <c r="H46" s="6" t="inlineStr">
        <is>
          <t xml:space="preserve">Det omarbetade byggnadsdirektivet (EPBD) innehåller krav på laddinfrastruktur och cykelparkering i byggnader och ska vara infört under 2026. Svenska genomförandet ej kontrollerat. Säkerhet: medel.</t>
        </is>
      </c>
      <c r="I46" s="6" t="inlineStr">
        <is>
          <t xml:space="preserve">Öppet nu</t>
        </is>
      </c>
      <c r="J46" s="7" t="str">
        <f t="shared" si="1"/>
        <v>Ta upp nu</v>
      </c>
      <c r="K46" s="6"/>
      <c r="L46" s="6"/>
      <c r="M46" s="6"/>
      <c r="N46" s="6" t="inlineStr">
        <is>
          <t xml:space="preserve">Fördjupad strategi skifte 3, ShiftSweden 2026-03-18, avsnitt 2.5
Bedömning: preliminär, gjord av Claude utifrån rapporten; gruppen avgör.</t>
        </is>
      </c>
      <c r="O46" s="5" t="inlineStr">
        <is>
          <t xml:space="preserve">2026-10-26</t>
        </is>
      </c>
    </row>
    <row r="47" spans="1:15" x14ac:dyDescent="0.3" ht="78.05" customHeight="1">
      <c r="A47" s="5" t="inlineStr">
        <is>
          <t xml:space="preserve">HP-043</t>
        </is>
      </c>
      <c r="B47" s="6" t="inlineStr">
        <is>
          <t xml:space="preserve">Värden utan prislapp</t>
        </is>
      </c>
      <c r="C47" s="6" t="inlineStr">
        <is>
          <t xml:space="preserve">Kalkyler och investeringsbeslut räknar inte med hälsa, trygghet, offentliga platser och ekosystemtjänster, så de förlorar mot kortsiktig lönsamhet.</t>
        </is>
      </c>
      <c r="D47" s="6" t="inlineStr">
        <is>
          <t xml:space="preserve">Regeringen och myndigheter (samhällsekonomiska kalkyler), kommuner, fastighetsägare, finansiärer.</t>
        </is>
      </c>
      <c r="E47" s="6" t="inlineStr">
        <is>
          <t xml:space="preserve">Tvärgående</t>
        </is>
      </c>
      <c r="F47" s="6" t="inlineStr">
        <is>
          <t xml:space="preserve">Hög</t>
        </is>
      </c>
      <c r="G47" s="6" t="inlineStr">
        <is>
          <t xml:space="preserve">Medel</t>
        </is>
      </c>
      <c r="H47" s="6" t="inlineStr">
        <is>
          <t xml:space="preserve">Inget beslutsläge hittat. Rapporterna föreslår modeller som sann kostnadsredovisning (True cost accounting). Närliggande: HP-009. Säkerhet: låg.</t>
        </is>
      </c>
      <c r="I47" s="6" t="inlineStr">
        <is>
          <t xml:space="preserve">Vet ej</t>
        </is>
      </c>
      <c r="J47" s="7" t="str">
        <f t="shared" si="1"/>
        <v>Bevaka fönster</v>
      </c>
      <c r="K47" s="6"/>
      <c r="L47" s="6"/>
      <c r="M47" s="6"/>
      <c r="N47" s="6" t="inlineStr">
        <is>
          <t xml:space="preserve">Fördjupad strategi skifte 1, ShiftSweden 2024-12-20, avsnitt 3.2 och 5.5; Fördjupad strategi skifte 3, ShiftSweden 2026-03-18, avsnitt 2.2 och 2.3
Bedömning: preliminär, gjord av Claude utifrån rapporten; gruppen avgör.</t>
        </is>
      </c>
      <c r="O47" s="5" t="inlineStr">
        <is>
          <t xml:space="preserve">2026-10-26</t>
        </is>
      </c>
    </row>
    <row r="48" spans="1:15" x14ac:dyDescent="0.3" ht="78.05" customHeight="1">
      <c r="A48" s="5" t="inlineStr">
        <is>
          <t xml:space="preserve">HP-044</t>
        </is>
      </c>
      <c r="B48" s="6" t="inlineStr">
        <is>
          <t xml:space="preserve">Nybyggande som mått på framgång</t>
        </is>
      </c>
      <c r="C48" s="6" t="inlineStr">
        <is>
          <t xml:space="preserve">Ekonomi, politik och organisationer belönar nybyggande och exploatering, medan att nyttja och dela det befintliga sällan räknas som värdeskapande.</t>
        </is>
      </c>
      <c r="D48" s="6" t="inlineStr">
        <is>
          <t xml:space="preserve">Politiker och ledningar i kommuner, regioner, myndigheter och företag.</t>
        </is>
      </c>
      <c r="E48" s="6" t="inlineStr">
        <is>
          <t xml:space="preserve">Tvärgående</t>
        </is>
      </c>
      <c r="F48" s="6" t="inlineStr">
        <is>
          <t xml:space="preserve">Hög</t>
        </is>
      </c>
      <c r="G48" s="6" t="inlineStr">
        <is>
          <t xml:space="preserve">Låg</t>
        </is>
      </c>
      <c r="H48" s="6" t="inlineStr">
        <is>
          <t xml:space="preserve">Ny mandatperiod efter valet i september 2026: kommuner och regioner sätter nya mål och budgetar. Säkerhet: medel.</t>
        </is>
      </c>
      <c r="I48" s="6" t="inlineStr">
        <is>
          <t xml:space="preserve">Snart</t>
        </is>
      </c>
      <c r="J48" s="7" t="str">
        <f t="shared" si="1"/>
        <v>Bevaka fönster</v>
      </c>
      <c r="K48" s="6"/>
      <c r="L48" s="6"/>
      <c r="M48" s="6"/>
      <c r="N48" s="6" t="inlineStr">
        <is>
          <t xml:space="preserve">Fördjupad strategi skifte 3, ShiftSweden 2026-03-18, avsnitt 2.3 och 3.1
Bedömning: preliminär, gjord av Claude utifrån rapporten; gruppen avgör.</t>
        </is>
      </c>
      <c r="O48" s="5" t="inlineStr">
        <is>
          <t xml:space="preserve">2026-10-26</t>
        </is>
      </c>
    </row>
    <row r="49" spans="1:15" x14ac:dyDescent="0.3" ht="78.05" customHeight="1">
      <c r="A49" s="5" t="inlineStr">
        <is>
          <t xml:space="preserve">HP-045</t>
        </is>
      </c>
      <c r="B49" s="6" t="inlineStr">
        <is>
          <t xml:space="preserve">Internationella nätverk och EU-medel för labben</t>
        </is>
      </c>
      <c r="C49" s="6" t="inlineStr">
        <is>
          <t xml:space="preserve">Omställningslabben har begränsad kapacitet att bygga konsortier och söka EU-finansiering, så internationellt lärande och uppväxling uteblir.</t>
        </is>
      </c>
      <c r="D49" s="6" t="inlineStr">
        <is>
          <t xml:space="preserve">ShiftSwedens programkontor, labbsamordnare, Formas, Vinnova och Energimyndigheten.</t>
        </is>
      </c>
      <c r="E49" s="6" t="inlineStr">
        <is>
          <t xml:space="preserve">Tvärgående</t>
        </is>
      </c>
      <c r="F49" s="6" t="inlineStr">
        <is>
          <t xml:space="preserve">Medel</t>
        </is>
      </c>
      <c r="G49" s="6" t="inlineStr">
        <is>
          <t xml:space="preserve">Hög</t>
        </is>
      </c>
      <c r="H49" s="6" t="inlineStr">
        <is>
          <t xml:space="preserve">Den internationella strategin gäller 2026 till 2029 och pekar ut bland annat Driving Urban Transitions (DUT), New European Bauhaus och Cities Mission. Aktuella utlysningsdatum ej kontrollerade. Säkerhet: låg.</t>
        </is>
      </c>
      <c r="I49" s="6" t="inlineStr">
        <is>
          <t xml:space="preserve">Vet ej</t>
        </is>
      </c>
      <c r="J49" s="7" t="str">
        <f t="shared" si="1"/>
        <v>Parkera</v>
      </c>
      <c r="K49" s="6"/>
      <c r="L49" s="6"/>
      <c r="M49" s="6"/>
      <c r="N49" s="6" t="inlineStr">
        <is>
          <t xml:space="preserve">ShiftSweden internationell strategi, 2026-01-27
Bedömning: preliminär, gjord av Claude utifrån rapporten; gruppen avgör.</t>
        </is>
      </c>
      <c r="O49" s="5" t="inlineStr">
        <is>
          <t xml:space="preserve">2026-10-26</t>
        </is>
      </c>
    </row>
    <row r="50" spans="1:15" x14ac:dyDescent="0.3" ht="78.05" customHeight="1">
      <c r="A50" s="5" t="inlineStr">
        <is>
          <t xml:space="preserve">HP-046</t>
        </is>
      </c>
      <c r="B50" s="6" t="inlineStr">
        <is>
          <t xml:space="preserve">Skilda budgetar för att bygga och förvalta</t>
        </is>
      </c>
      <c r="C50" s="6" t="inlineStr">
        <is>
          <t xml:space="preserve">Kostnad och nytta hamnar i olika budgetar och organisationer, så sociala kvaliteter och livscykelvärde sparas bort vid bygget och blir dyra senare.</t>
        </is>
      </c>
      <c r="D50" s="6" t="inlineStr">
        <is>
          <t xml:space="preserve">Kommuner, regioner, offentliga beställare, fastighetsägare.</t>
        </is>
      </c>
      <c r="E50" s="6" t="inlineStr">
        <is>
          <t xml:space="preserve">1 Cirkulärt byggande</t>
        </is>
      </c>
      <c r="F50" s="6" t="inlineStr">
        <is>
          <t xml:space="preserve">Hög</t>
        </is>
      </c>
      <c r="G50" s="6" t="inlineStr">
        <is>
          <t xml:space="preserve">Medel</t>
        </is>
      </c>
      <c r="H50" s="6" t="inlineStr">
        <is>
          <t xml:space="preserve">Inget beslutsläge hittat. Närliggande: HP-043. Säkerhet: låg.</t>
        </is>
      </c>
      <c r="I50" s="6" t="inlineStr">
        <is>
          <t xml:space="preserve">Vet ej</t>
        </is>
      </c>
      <c r="J50" s="7" t="str">
        <f t="shared" si="1"/>
        <v>Bevaka fönster</v>
      </c>
      <c r="K50" s="6"/>
      <c r="L50" s="6"/>
      <c r="M50" s="6"/>
      <c r="N50" s="6" t="inlineStr">
        <is>
          <t xml:space="preserve">Systemperspektiv för samhällstransformation. Fem nycklar för transformation (white paper), IQ Samhällsbyggnads expertråd för strategi, 2026, kapitel 2 och 3
Bedömning: preliminär, gjord av Claude utifrån skriften; gruppen avgör.</t>
        </is>
      </c>
      <c r="O50" s="5" t="inlineStr">
        <is>
          <t xml:space="preserve">2026-10-27</t>
        </is>
      </c>
    </row>
    <row r="51" spans="1:15" x14ac:dyDescent="0.3" ht="78.05" customHeight="1">
      <c r="A51" s="5" t="inlineStr">
        <is>
          <t xml:space="preserve">HP-047</t>
        </is>
      </c>
      <c r="B51" s="6" t="inlineStr">
        <is>
          <t xml:space="preserve">Affärslogik som säljer timmar och kvadratmeter</t>
        </is>
      </c>
      <c r="C51" s="6" t="inlineStr">
        <is>
          <t xml:space="preserve">Sektorn säljer arbetade timmar, delar och kvadratmeter i stället för funktion och nytta, och entreprenadformer med ändrings- och tilläggsarbeten premierar egen vinning framför gemensam problemlösning.</t>
        </is>
      </c>
      <c r="D51" s="6" t="inlineStr">
        <is>
          <t xml:space="preserve">Företag i värdekedjan, offentliga och privata beställare, branschorganisationer.</t>
        </is>
      </c>
      <c r="E51" s="6" t="inlineStr">
        <is>
          <t xml:space="preserve">1 Cirkulärt byggande</t>
        </is>
      </c>
      <c r="F51" s="6" t="inlineStr">
        <is>
          <t xml:space="preserve">Hög</t>
        </is>
      </c>
      <c r="G51" s="6" t="inlineStr">
        <is>
          <t xml:space="preserve">Medel</t>
        </is>
      </c>
      <c r="H51" s="6" t="inlineStr">
        <is>
          <t xml:space="preserve">Inget beslutsläge hittat. Säkerhet: låg.</t>
        </is>
      </c>
      <c r="I51" s="6" t="inlineStr">
        <is>
          <t xml:space="preserve">Vet ej</t>
        </is>
      </c>
      <c r="J51" s="7" t="str">
        <f t="shared" si="1"/>
        <v>Bevaka fönster</v>
      </c>
      <c r="K51" s="6"/>
      <c r="L51" s="6"/>
      <c r="M51" s="6"/>
      <c r="N51" s="6" t="inlineStr">
        <is>
          <t xml:space="preserve">Systemperspektiv för samhällstransformation. Fem nycklar för transformation (white paper), IQ Samhällsbyggnads expertråd för strategi, 2026, kapitel 1 och 2 (nyckel 3)
Bedömning: preliminär, gjord av Claude utifrån skriften; gruppen avgör.</t>
        </is>
      </c>
      <c r="O51" s="5" t="inlineStr">
        <is>
          <t xml:space="preserve">2026-10-27</t>
        </is>
      </c>
    </row>
    <row r="52" spans="1:15" x14ac:dyDescent="0.3" ht="78.05" customHeight="1">
      <c r="A52" s="5" t="inlineStr">
        <is>
          <t xml:space="preserve">HP-048</t>
        </is>
      </c>
      <c r="B52" s="6" t="inlineStr">
        <is>
          <t xml:space="preserve">Standarder skrivna för linjära flöden</t>
        </is>
      </c>
      <c r="C52" s="6" t="inlineStr">
        <is>
          <t xml:space="preserve">Standarder och tekniska regelverk formas av etablerade industriella logiker; cirkulära och återbrukande aktörer är svagt representerade, särskilt när standardiseringen sker på EU-nivå.</t>
        </is>
      </c>
      <c r="D52" s="6" t="inlineStr">
        <is>
          <t xml:space="preserve">SIS och europeisk standardisering (CEN), Boverket, branschorganisationer, återbruksaktörer.</t>
        </is>
      </c>
      <c r="E52" s="6" t="inlineStr">
        <is>
          <t xml:space="preserve">1 Cirkulärt byggande</t>
        </is>
      </c>
      <c r="F52" s="6" t="inlineStr">
        <is>
          <t xml:space="preserve">Hög</t>
        </is>
      </c>
      <c r="G52" s="6" t="inlineStr">
        <is>
          <t xml:space="preserve">Låg</t>
        </is>
      </c>
      <c r="H52" s="6" t="inlineStr">
        <is>
          <t xml:space="preserve">EU:s nya byggproduktförordning innebär att harmoniserade standarder skrivs om under de närmaste åren. Tidplan ej kontrollerad. Närliggande: HP-024. Säkerhet: medel.</t>
        </is>
      </c>
      <c r="I52" s="6" t="inlineStr">
        <is>
          <t xml:space="preserve">Öppet nu</t>
        </is>
      </c>
      <c r="J52" s="7" t="str">
        <f t="shared" si="1"/>
        <v>Bevaka fönster</v>
      </c>
      <c r="K52" s="6"/>
      <c r="L52" s="6"/>
      <c r="M52" s="6"/>
      <c r="N52" s="6" t="inlineStr">
        <is>
          <t xml:space="preserve">Systemperspektiv för samhällstransformation. Fem nycklar för transformation (white paper), IQ Samhällsbyggnads expertråd för strategi, 2026, kapitel 2 (Incitamentsstrukturer)
Bedömning: preliminär, gjord av Claude utifrån skriften; gruppen avgör.</t>
        </is>
      </c>
      <c r="O52" s="5" t="inlineStr">
        <is>
          <t xml:space="preserve">2026-10-27</t>
        </is>
      </c>
    </row>
    <row r="53" spans="1:15" x14ac:dyDescent="0.3" ht="78.05" customHeight="1">
      <c r="A53" s="5" t="inlineStr">
        <is>
          <t xml:space="preserve">HP-049</t>
        </is>
      </c>
      <c r="B53" s="6" t="inlineStr">
        <is>
          <t xml:space="preserve">Beredskap som låser in linjära lösningar</t>
        </is>
      </c>
      <c r="C53" s="6" t="inlineStr">
        <is>
          <t xml:space="preserve">Beredskapsstrukturerna som byggs upp nu riskerar att utformas med linjära flöden och korta tidshorisonter, trots att cirkulära flöden stärker försörjningstryggheten.</t>
        </is>
      </c>
      <c r="D53" s="6" t="inlineStr">
        <is>
          <t xml:space="preserve">Regeringen, myndigheter med beredskapsansvar, kommuner och regioner, materialproducenter.</t>
        </is>
      </c>
      <c r="E53" s="6" t="inlineStr">
        <is>
          <t xml:space="preserve">Tvärgående</t>
        </is>
      </c>
      <c r="F53" s="6" t="inlineStr">
        <is>
          <t xml:space="preserve">Hög</t>
        </is>
      </c>
      <c r="G53" s="6" t="inlineStr">
        <is>
          <t xml:space="preserve">Medel</t>
        </is>
      </c>
      <c r="H53" s="6" t="inlineStr">
        <is>
          <t xml:space="preserve">Uppbyggnaden av det civila försvaret pågår, med investeringar och planering hos stat, regioner och kommuner. Säkerhet: medel.</t>
        </is>
      </c>
      <c r="I53" s="6" t="inlineStr">
        <is>
          <t xml:space="preserve">Öppet nu</t>
        </is>
      </c>
      <c r="J53" s="7" t="str">
        <f t="shared" si="1"/>
        <v>Ta upp nu</v>
      </c>
      <c r="K53" s="6"/>
      <c r="L53" s="6"/>
      <c r="M53" s="6"/>
      <c r="N53" s="6" t="inlineStr">
        <is>
          <t xml:space="preserve">Systemperspektiv för samhällstransformation. Fem nycklar för transformation (white paper), IQ Samhällsbyggnads expertråd för strategi, 2026, kapitel 2 (Konkurrenskraft och framtida utmaningar) och kapitel 4
Bedömning: preliminär, gjord av Claude utifrån skriften; gruppen avgör.</t>
        </is>
      </c>
      <c r="O53" s="5" t="inlineStr">
        <is>
          <t xml:space="preserve">2026-10-27</t>
        </is>
      </c>
    </row>
    <row r="54" spans="1:15" x14ac:dyDescent="0.3" ht="78.05" customHeight="1">
      <c r="A54" s="5" t="inlineStr">
        <is>
          <t xml:space="preserve">HP-050</t>
        </is>
      </c>
      <c r="B54" s="6" t="inlineStr">
        <is>
          <t xml:space="preserve">Upprustning av VA, energi och vägar</t>
        </is>
      </c>
      <c r="C54" s="6" t="inlineStr">
        <is>
          <t xml:space="preserve">Det stora upprustningsbehovet riskerar att mötas med nybyggnad och kortsiktiga lösningar i stället för att ta hand om och utveckla det som finns, med flexibilitet för framtida behov.</t>
        </is>
      </c>
      <c r="D54" s="6" t="inlineStr">
        <is>
          <t xml:space="preserve">Kommuner och VA-huvudmän, energibolag, Trafikverket.</t>
        </is>
      </c>
      <c r="E54" s="6" t="inlineStr">
        <is>
          <t xml:space="preserve">1 Cirkulärt byggande</t>
        </is>
      </c>
      <c r="F54" s="6" t="inlineStr">
        <is>
          <t xml:space="preserve">Hög</t>
        </is>
      </c>
      <c r="G54" s="6" t="inlineStr">
        <is>
          <t xml:space="preserve">Medel</t>
        </is>
      </c>
      <c r="H54" s="6" t="inlineStr">
        <is>
          <t xml:space="preserve">Skriften pekar på investeringsfönster när system ändå ska byggas om, förstärkas eller utökas; många VA-huvudmän planerar stora upprustningar. Inget enskilt beslut kontrollerat. Säkerhet: låg.</t>
        </is>
      </c>
      <c r="I54" s="6" t="inlineStr">
        <is>
          <t xml:space="preserve">Snart</t>
        </is>
      </c>
      <c r="J54" s="7" t="str">
        <f t="shared" si="1"/>
        <v>Bevaka fönster</v>
      </c>
      <c r="K54" s="6"/>
      <c r="L54" s="6"/>
      <c r="M54" s="6"/>
      <c r="N54" s="6" t="inlineStr">
        <is>
          <t xml:space="preserve">Systemperspektiv för samhällstransformation. Fem nycklar för transformation (white paper), IQ Samhällsbyggnads expertråd för strategi, 2026, kapitel 2 (Konkurrenskraft och framtida utmaningar)
Bedömning: preliminär, gjord av Claude utifrån skriften; gruppen avgör.</t>
        </is>
      </c>
      <c r="O54" s="5" t="inlineStr">
        <is>
          <t xml:space="preserve">2026-10-27</t>
        </is>
      </c>
    </row>
    <row r="55" spans="1:15" x14ac:dyDescent="0.3" ht="78.05" customHeight="1">
      <c r="A55" s="5" t="inlineStr">
        <is>
          <t xml:space="preserve">HP-051</t>
        </is>
      </c>
      <c r="B55" s="6" t="inlineStr">
        <is>
          <t xml:space="preserve">Projektlogik i stället för förmågelogik</t>
        </is>
      </c>
      <c r="C55" s="6" t="inlineStr">
        <is>
          <t xml:space="preserve">Styrning, uppföljning och belöning premierar leverans i tid och inom budget; förmåga till systemförståelse, lärande och anpassning över tid byggs inte upp.</t>
        </is>
      </c>
      <c r="D55" s="6" t="inlineStr">
        <is>
          <t xml:space="preserve">Ledningar i företag och offentliga organisationer, beställare, akademi, branschorganisationer, IQ Samhällsbyggnad.</t>
        </is>
      </c>
      <c r="E55" s="6" t="inlineStr">
        <is>
          <t xml:space="preserve">Tvärgående</t>
        </is>
      </c>
      <c r="F55" s="6" t="inlineStr">
        <is>
          <t xml:space="preserve">Medel</t>
        </is>
      </c>
      <c r="G55" s="6" t="inlineStr">
        <is>
          <t xml:space="preserve">Hög</t>
        </is>
      </c>
      <c r="H55" s="6" t="inlineStr">
        <is>
          <t xml:space="preserve">Inget beslutsläge hittat. Närliggande: HP-001 och HP-016. Säkerhet: låg.</t>
        </is>
      </c>
      <c r="I55" s="6" t="inlineStr">
        <is>
          <t xml:space="preserve">Vet ej</t>
        </is>
      </c>
      <c r="J55" s="7" t="str">
        <f t="shared" si="1"/>
        <v>Parkera</v>
      </c>
      <c r="K55" s="6"/>
      <c r="L55" s="6"/>
      <c r="M55" s="6"/>
      <c r="N55" s="6" t="inlineStr">
        <is>
          <t xml:space="preserve">Systemperspektiv för samhällstransformation. Fem nycklar för transformation (white paper), IQ Samhällsbyggnads expertråd för strategi, 2026, kapitel 3
Bedömning: preliminär, gjord av Claude utifrån skriften; gruppen avgör.</t>
        </is>
      </c>
      <c r="O55" s="5" t="inlineStr">
        <is>
          <t xml:space="preserve">2026-10-27</t>
        </is>
      </c>
    </row>
    <row r="56" spans="1:15" x14ac:dyDescent="0.3" ht="78.05" customHeight="1">
      <c r="A56" s="5" t="inlineStr">
        <is>
          <t xml:space="preserve">HP-052</t>
        </is>
      </c>
      <c r="B56" s="6" t="inlineStr">
        <is>
          <t xml:space="preserve">Samråd i stället för samskapande</t>
        </is>
      </c>
      <c r="C56" s="6" t="inlineStr">
        <is>
          <t xml:space="preserve">Boende och aktörer informeras om planer som är nästan färdiga; problem, mål och behov definieras inte tillsammans innan lösningarna ritas.</t>
        </is>
      </c>
      <c r="D56" s="6" t="inlineStr">
        <is>
          <t xml:space="preserve">Kommuner, byggherrar, arkitekter och konsulter.</t>
        </is>
      </c>
      <c r="E56" s="6" t="inlineStr">
        <is>
          <t xml:space="preserve">3 Byggd miljö möter mobilitet</t>
        </is>
      </c>
      <c r="F56" s="6" t="inlineStr">
        <is>
          <t xml:space="preserve">Medel</t>
        </is>
      </c>
      <c r="G56" s="6" t="inlineStr">
        <is>
          <t xml:space="preserve">Medel</t>
        </is>
      </c>
      <c r="H56" s="6" t="inlineStr">
        <is>
          <t xml:space="preserve">Inget samlat beslutsläge hittat. Närliggande: HP-037. Säkerhet: låg.</t>
        </is>
      </c>
      <c r="I56" s="6" t="inlineStr">
        <is>
          <t xml:space="preserve">Vet ej</t>
        </is>
      </c>
      <c r="J56" s="7" t="str">
        <f t="shared" si="1"/>
        <v>Parkera</v>
      </c>
      <c r="K56" s="6"/>
      <c r="L56" s="6"/>
      <c r="M56" s="6"/>
      <c r="N56" s="6" t="inlineStr">
        <is>
          <t xml:space="preserve">Systemperspektiv för samhällstransformation. Fem nycklar för transformation (white paper), IQ Samhällsbyggnads expertråd för strategi, 2026, kapitel 2 och 3 (nyckel 4)
Bedömning: preliminär, gjord av Claude utifrån skriften; gruppen avgör.</t>
        </is>
      </c>
      <c r="O56" s="5" t="inlineStr">
        <is>
          <t xml:space="preserve">2026-10-27</t>
        </is>
      </c>
    </row>
    <row r="57" spans="1:15" x14ac:dyDescent="0.3" ht="78.05" customHeight="1">
      <c r="A57" s="5" t="inlineStr">
        <is>
          <t xml:space="preserve">HP-053</t>
        </is>
      </c>
      <c r="B57" s="6" t="inlineStr">
        <is>
          <t xml:space="preserve">Tekniska detaljer låses för tidigt</t>
        </is>
      </c>
      <c r="C57" s="6" t="inlineStr">
        <is>
          <t xml:space="preserve">Projektmodeller låser tekniska lösningar tidigt i stället för att utgå från funktionskrav och en gemensam målbild, så behov som upptäcks längs vägen inte kan tas om hand.</t>
        </is>
      </c>
      <c r="D57" s="6" t="inlineStr">
        <is>
          <t xml:space="preserve">Offentliga beställare, Upphandlingsmyndigheten, projektörer och entreprenörer.</t>
        </is>
      </c>
      <c r="E57" s="6" t="inlineStr">
        <is>
          <t xml:space="preserve">Tvärgående</t>
        </is>
      </c>
      <c r="F57" s="6" t="inlineStr">
        <is>
          <t xml:space="preserve">Medel</t>
        </is>
      </c>
      <c r="G57" s="6" t="inlineStr">
        <is>
          <t xml:space="preserve">Hög</t>
        </is>
      </c>
      <c r="H57" s="6" t="inlineStr">
        <is>
          <t xml:space="preserve">Inget beslutsläge hittat. Närliggande: HP-033. Säkerhet: låg.</t>
        </is>
      </c>
      <c r="I57" s="6" t="inlineStr">
        <is>
          <t xml:space="preserve">Vet ej</t>
        </is>
      </c>
      <c r="J57" s="7" t="str">
        <f t="shared" si="1"/>
        <v>Parkera</v>
      </c>
      <c r="K57" s="6"/>
      <c r="L57" s="6"/>
      <c r="M57" s="6"/>
      <c r="N57" s="6" t="inlineStr">
        <is>
          <t xml:space="preserve">Systemperspektiv för samhällstransformation. Fem nycklar för transformation (white paper), IQ Samhällsbyggnads expertråd för strategi, 2026, kapitel 3
Bedömning: preliminär, gjord av Claude utifrån skriften; gruppen avgör.</t>
        </is>
      </c>
      <c r="O57" s="5" t="inlineStr">
        <is>
          <t xml:space="preserve">2026-10-27</t>
        </is>
      </c>
    </row>
    <row r="58" spans="1:15" x14ac:dyDescent="0.3">
      <c r="A58" s="5"/>
      <c r="B58" s="6"/>
      <c r="C58" s="6"/>
      <c r="D58" s="6"/>
      <c r="E58" s="6"/>
      <c r="F58" s="6"/>
      <c r="G58" s="6"/>
      <c r="H58" s="6"/>
      <c r="I58" s="6"/>
      <c r="J58" s="7" t="str">
        <f t="shared" si="1"/>
        <v/>
      </c>
      <c r="K58" s="6"/>
      <c r="L58" s="6"/>
      <c r="M58" s="6"/>
      <c r="N58" s="6"/>
      <c r="O58" s="5"/>
    </row>
    <row r="59" spans="1:15" x14ac:dyDescent="0.3">
      <c r="A59" s="5"/>
      <c r="B59" s="6"/>
      <c r="C59" s="6"/>
      <c r="D59" s="6"/>
      <c r="E59" s="6"/>
      <c r="F59" s="6"/>
      <c r="G59" s="6"/>
      <c r="H59" s="6"/>
      <c r="I59" s="6"/>
      <c r="J59" s="7" t="str">
        <f t="shared" si="1"/>
        <v/>
      </c>
      <c r="K59" s="6"/>
      <c r="L59" s="6"/>
      <c r="M59" s="6"/>
      <c r="N59" s="6"/>
      <c r="O59" s="5"/>
    </row>
    <row r="60" spans="1:15" x14ac:dyDescent="0.3">
      <c r="A60" s="5"/>
      <c r="B60" s="6"/>
      <c r="C60" s="6"/>
      <c r="D60" s="6"/>
      <c r="E60" s="6"/>
      <c r="F60" s="6"/>
      <c r="G60" s="6"/>
      <c r="H60" s="6"/>
      <c r="I60" s="6"/>
      <c r="J60" s="7" t="str">
        <f t="shared" si="1"/>
        <v/>
      </c>
      <c r="K60" s="6"/>
      <c r="L60" s="6"/>
      <c r="M60" s="6"/>
      <c r="N60" s="6"/>
      <c r="O60" s="5"/>
    </row>
  </sheetData>
  <autoFilter ref="A4:O60" xr:uid="{00000000-0009-0000-0000-000000000000}"/>
  <mergeCells count="2">
    <mergeCell ref="A1:O1"/>
    <mergeCell ref="A2:O2"/>
  </mergeCells>
  <conditionalFormatting sqref="F5:G60">
    <cfRule type="cellIs" dxfId="7" priority="2" operator="equal">
      <formula>"Hög"</formula>
    </cfRule>
    <cfRule type="cellIs" dxfId="6" priority="3" operator="equal">
      <formula>"Medel"</formula>
    </cfRule>
    <cfRule type="cellIs" dxfId="5" priority="4" operator="equal">
      <formula>"Låg"</formula>
    </cfRule>
  </conditionalFormatting>
  <conditionalFormatting sqref="I5:I60">
    <cfRule type="cellIs" dxfId="4" priority="8" operator="equal">
      <formula>"Öppet nu"</formula>
    </cfRule>
    <cfRule type="cellIs" dxfId="3" priority="9" operator="equal">
      <formula>"Snart"</formula>
    </cfRule>
  </conditionalFormatting>
  <conditionalFormatting sqref="J5:K60">
    <cfRule type="cellIs" dxfId="2" priority="10" operator="equal">
      <formula>"Ta upp nu"</formula>
    </cfRule>
    <cfRule type="cellIs" dxfId="1" priority="11" operator="equal">
      <formula>"Bevaka fönster"</formula>
    </cfRule>
    <cfRule type="cellIs" dxfId="0" priority="12" operator="equal">
      <formula>"Bevaka"</formula>
    </cfRule>
  </conditionalFormatting>
  <dataValidations count="4">
    <dataValidation type="list" allowBlank="1" sqref="E5:E60" xr:uid="{00000000-0002-0000-0000-000000000000}">
      <formula1>"1 Cirkulärt byggande,2 Ny frihetsreform för resande,3 Byggd miljö möter mobilitet,Tvärgående"</formula1>
      <formula2>0</formula2>
    </dataValidation>
    <dataValidation type="list" allowBlank="1" sqref="F5:G60" xr:uid="{00000000-0002-0000-0000-000001000000}">
      <formula1>"Hög,Medel,Låg"</formula1>
      <formula2>0</formula2>
    </dataValidation>
    <dataValidation type="list" allowBlank="1" sqref="I5:I60" xr:uid="{00000000-0002-0000-0000-000002000000}">
      <formula1>"Öppet nu,Snart,Stängt,Vet ej"</formula1>
      <formula2>0</formula2>
    </dataValidation>
    <dataValidation type="list" allowBlank="1" sqref="K5:K60" xr:uid="{00000000-0002-0000-0000-000003000000}">
      <formula1>"Ta upp nu,Bevaka,Parkera,Klar"</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zoomScaleNormal="100" workbookViewId="0">
      <selection activeCell="C5" sqref="C5"/>
    </sheetView>
  </sheetViews>
  <sheetFormatPr defaultColWidth="8.69921875" defaultRowHeight="14" x14ac:dyDescent="0.3"/>
  <cols>
    <col min="1" max="1" width="12.69921875" customWidth="1"/>
    <col min="2" max="2" width="38.296875" customWidth="1"/>
    <col min="3" max="3" width="35.3984375" customWidth="1"/>
    <col min="4" max="4" width="35" customWidth="1"/>
    <col min="5" max="5" width="34.19921875" customWidth="1"/>
  </cols>
  <sheetData>
    <row r="1" spans="1:6" ht="17.75" x14ac:dyDescent="0.35">
      <c r="A1" s="3" t="s">
        <v>179</v>
      </c>
    </row>
    <row r="2" spans="1:6" x14ac:dyDescent="0.3">
      <c r="A2" s="1" t="s">
        <v>180</v>
      </c>
      <c r="B2" s="1"/>
      <c r="C2" s="1"/>
      <c r="D2" s="1"/>
      <c r="E2" s="1"/>
      <c r="F2" s="1"/>
    </row>
    <row r="4" spans="1:6" x14ac:dyDescent="0.3">
      <c r="A4" s="8" t="s">
        <v>181</v>
      </c>
      <c r="B4" s="9" t="s">
        <v>24</v>
      </c>
      <c r="C4" s="9" t="s">
        <v>34</v>
      </c>
      <c r="D4" s="9" t="s">
        <v>49</v>
      </c>
      <c r="E4" s="9" t="s">
        <v>42</v>
      </c>
    </row>
    <row r="5" spans="1:6" ht="299.95" customHeight="1" x14ac:dyDescent="0.3">
      <c r="A5" s="10" t="s">
        <v>22</v>
      </c>
      <c r="B5" s="11" t="str">
        <f t="array" ref="B5">_xlfn.TEXTJOIN(CHAR(10),TRUE(),IF((Logg!$F$5:$F$60=$A5)*(Logg!$I$5:$I$60=B$4),Logg!$A$5:$A$60&amp;" "&amp;Logg!$B$5:$B$60&amp;IF(Logg!$G$5:$G$60="Låg"," *",""),""))</f>
        <v>HP-001 Lärande stannar i enskilda projekt
HP-009 Tillgänglighetsproposition i stället för prognoser
HP-010 Pengar och mandat för fyrstegsprincipens steg 1 och 2
HP-037 Närhetsprincipen i kommunernas planering
HP-048 Standarder skrivna för linjära flöden *
HP-049 Beredskap som låser in linjära lösningar</v>
      </c>
      <c r="C5" s="12" t="str">
        <f t="array" ref="C5">_xlfn.TEXTJOIN(CHAR(10),TRUE(),IF((Logg!$F$5:$F$60=$A5)*(Logg!$I$5:$I$60=C$4),Logg!$A$5:$A$60&amp;" "&amp;Logg!$B$5:$B$60&amp;IF(Logg!$G$5:$G$60="Låg"," *",""),""))</f>
        <v>HP-002 Självkörande fordon och den bilanpassade staden
HP-014 Självkörande fordon i kollektivtrafiken
HP-022 Moms och bruksvärde som hinder för återbruk *
HP-044 Nybyggande som mått på framgång *
HP-050 Upprustning av VA, energi och vägar</v>
      </c>
      <c r="D5" s="12" t="str">
        <f t="array" ref="D5">_xlfn.TEXTJOIN(CHAR(10),TRUE(),IF((Logg!$F$5:$F$60=$A5)*(Logg!$I$5:$I$60=D$4),Logg!$A$5:$A$60&amp;" "&amp;Logg!$B$5:$B$60&amp;IF(Logg!$G$5:$G$60="Låg"," *",""),""))</f>
        <v/>
      </c>
      <c r="E5" s="12" t="str">
        <f t="array" ref="E5">_xlfn.TEXTJOIN(CHAR(10),TRUE(),IF((Logg!$F$5:$F$60=$A5)*(Logg!$I$5:$I$60=E$4),Logg!$A$5:$A$60&amp;" "&amp;Logg!$B$5:$B$60&amp;IF(Logg!$G$5:$G$60="Låg"," *",""),""))</f>
        <v>HP-003 Återbruk av Centralbron i stället för rivning *
HP-011 Regionala tillgänglighetsavtal
HP-012 Reserverad gatuparkering för bilpooler
HP-018 Efterfrågestyrda parkeringsavgifter *
HP-019 30 km/h som bashastighet i tätort *
HP-020 Kollektivtrafikmyndighet blir mobilitetsmyndighet
HP-026 Redovisning som bara skriver av det befintliga *
HP-027 Bevisbörda och inventering före rivning
HP-028 Lokaler till bostäder hindras av nybyggnadskrav
HP-033 Offentliga byggherrar går före med återbruk
HP-034 Parkeringstal som låser markanvändningen
HP-038 Nationell fysisk planering saknas *
HP-039 Planering som bara sker när någon betalar
HP-043 Värden utan prislapp
HP-046 Skilda budgetar för att bygga och förvalta
HP-047 Affärslogik som säljer timmar och kvadratmeter</v>
      </c>
    </row>
    <row r="6" spans="1:6" ht="299.95" customHeight="1" x14ac:dyDescent="0.3">
      <c r="A6" s="10" t="s">
        <v>32</v>
      </c>
      <c r="B6" s="12" t="str">
        <f t="array" ref="B6">_xlfn.TEXTJOIN(CHAR(10),TRUE(),IF((Logg!$F$5:$F$60=$A6)*(Logg!$I$5:$I$60=B$4),Logg!$A$5:$A$60&amp;" "&amp;Logg!$B$5:$B$60&amp;IF(Logg!$G$5:$G$60="Låg"," *",""),""))</f>
        <v>HP-013 Integrerad fyrstegsprincip, 16 synergier
HP-015 Regional strategisk planering och innovation
HP-017 Trafikmiljöer i orter under 20 000 invånare
HP-021 Rekordårens flerbostadsområden: renovera eller riva *
HP-024 Kvalitetsansvar och gemensam data för återbruk
HP-029 Energieffektivisering i mellanskiktet D och E
HP-042 Mobilitetsnoder i kvarteret</v>
      </c>
      <c r="C6" s="12" t="str">
        <f t="array" ref="C6">_xlfn.TEXTJOIN(CHAR(10),TRUE(),IF((Logg!$F$5:$F$60=$A6)*(Logg!$I$5:$I$60=C$4),Logg!$A$5:$A$60&amp;" "&amp;Logg!$B$5:$B$60&amp;IF(Logg!$G$5:$G$60="Låg"," *",""),""))</f>
        <v>HP-005 Bilberoende nya stadsdelar i Halland
HP-007 Prästgårdar som bygdens noder
HP-008 Grön industriomställning utan livsmiljöer i norr</v>
      </c>
      <c r="D6" s="12" t="str">
        <f t="array" ref="D6">_xlfn.TEXTJOIN(CHAR(10),TRUE(),IF((Logg!$F$5:$F$60=$A6)*(Logg!$I$5:$I$60=D$4),Logg!$A$5:$A$60&amp;" "&amp;Logg!$B$5:$B$60&amp;IF(Logg!$G$5:$G$60="Låg"," *",""),""))</f>
        <v>HP-004 Ungas mobilitetsfattigdom i Sundsbruk
HP-016 Förändringsrum som återkommande arena</v>
      </c>
      <c r="E6" s="12" t="str">
        <f t="array" ref="E6">_xlfn.TEXTJOIN(CHAR(10),TRUE(),IF((Logg!$F$5:$F$60=$A6)*(Logg!$I$5:$I$60=E$4),Logg!$A$5:$A$60&amp;" "&amp;Logg!$B$5:$B$60&amp;IF(Logg!$G$5:$G$60="Låg"," *",""),""))</f>
        <v>HP-006 Blandstad på industrimark med många ägare
HP-023 Demonteringslov och flexiblare bygglov
HP-030 Producentansvar och återtagning av byggmaterial
HP-031 Schaktmassor som resurs i stället för avfall
HP-032 Samnyttjande av lokaler
HP-035 Gatuytor till gång, cykel och kollektivtrafik
HP-036 Oklara regler för samåkning och delade tjänster *
HP-040 Data som inte delas över sektorsgränser
HP-041 Delade lösningar som försvinner efter projektet
HP-045 Internationella nätverk och EU-medel för labben
HP-051 Projektlogik i stället för förmågelogik
HP-052 Samråd i stället för samskapande
HP-053 Tekniska detaljer låses för tidigt</v>
      </c>
    </row>
    <row r="7" spans="1:6" ht="60.05" customHeight="1" x14ac:dyDescent="0.3">
      <c r="A7" s="10" t="s">
        <v>40</v>
      </c>
      <c r="B7" s="12" t="str">
        <f t="array" ref="B7">_xlfn.TEXTJOIN(CHAR(10),TRUE(),IF((Logg!$F$5:$F$60=$A7)*(Logg!$I$5:$I$60=B$4),Logg!$A$5:$A$60&amp;" "&amp;Logg!$B$5:$B$60&amp;IF(Logg!$G$5:$G$60="Låg"," *",""),""))</f>
        <v>HP-025 Europan 18 som testbädd för platser</v>
      </c>
      <c r="C7" s="12" t="str">
        <f t="array" ref="C7">_xlfn.TEXTJOIN(CHAR(10),TRUE(),IF((Logg!$F$5:$F$60=$A7)*(Logg!$I$5:$I$60=C$4),Logg!$A$5:$A$60&amp;" "&amp;Logg!$B$5:$B$60&amp;IF(Logg!$G$5:$G$60="Låg"," *",""),""))</f>
        <v/>
      </c>
      <c r="D7" s="12" t="str">
        <f t="array" ref="D7">_xlfn.TEXTJOIN(CHAR(10),TRUE(),IF((Logg!$F$5:$F$60=$A7)*(Logg!$I$5:$I$60=D$4),Logg!$A$5:$A$60&amp;" "&amp;Logg!$B$5:$B$60&amp;IF(Logg!$G$5:$G$60="Låg"," *",""),""))</f>
        <v/>
      </c>
      <c r="E7" s="12" t="str">
        <f t="array" ref="E7">_xlfn.TEXTJOIN(CHAR(10),TRUE(),IF((Logg!$F$5:$F$60=$A7)*(Logg!$I$5:$I$60=E$4),Logg!$A$5:$A$60&amp;" "&amp;Logg!$B$5:$B$60&amp;IF(Logg!$G$5:$G$60="Låg"," *",""),""))</f>
        <v/>
      </c>
    </row>
  </sheetData>
  <mergeCells count="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topLeftCell="A6" zoomScaleNormal="100" workbookViewId="0"/>
  </sheetViews>
  <sheetFormatPr defaultColWidth="8.69921875" defaultRowHeight="14" x14ac:dyDescent="0.3"/>
  <cols>
    <col min="1" max="1" width="26" customWidth="1"/>
    <col min="2" max="2" width="100" customWidth="1"/>
  </cols>
  <sheetData>
    <row r="1" spans="1:2" ht="35.5" x14ac:dyDescent="0.3">
      <c r="A1" s="13" t="s">
        <v>182</v>
      </c>
    </row>
    <row r="2" spans="1:2" ht="33.75" customHeight="1" x14ac:dyDescent="0.3">
      <c r="A2" s="14" t="s">
        <v>183</v>
      </c>
      <c r="B2" s="15" t="s">
        <v>184</v>
      </c>
    </row>
    <row r="3" spans="1:2" ht="33.75" customHeight="1" x14ac:dyDescent="0.3">
      <c r="A3" s="14" t="s">
        <v>185</v>
      </c>
      <c r="B3" s="15" t="s">
        <v>186</v>
      </c>
    </row>
    <row r="4" spans="1:2" ht="18.8" customHeight="1" x14ac:dyDescent="0.3">
      <c r="A4" s="14" t="s">
        <v>7</v>
      </c>
      <c r="B4" s="15" t="s">
        <v>187</v>
      </c>
    </row>
    <row r="5" spans="1:2" ht="18.8" customHeight="1" x14ac:dyDescent="0.3">
      <c r="A5" s="14" t="s">
        <v>8</v>
      </c>
      <c r="B5" s="15" t="s">
        <v>188</v>
      </c>
    </row>
    <row r="6" spans="1:2" ht="60.2" customHeight="1" x14ac:dyDescent="0.3">
      <c r="A6" s="14" t="s">
        <v>189</v>
      </c>
      <c r="B6" s="15" t="s">
        <v>190</v>
      </c>
    </row>
    <row r="7" spans="1:2" ht="31.7" customHeight="1" x14ac:dyDescent="0.3">
      <c r="A7" s="14" t="s">
        <v>11</v>
      </c>
      <c r="B7" s="15" t="s">
        <v>191</v>
      </c>
    </row>
    <row r="8" spans="1:2" ht="33.75" customHeight="1" x14ac:dyDescent="0.3">
      <c r="A8" s="14" t="s">
        <v>12</v>
      </c>
      <c r="B8" s="15" t="s">
        <v>192</v>
      </c>
    </row>
    <row r="9" spans="1:2" ht="48.8" customHeight="1" x14ac:dyDescent="0.3">
      <c r="A9" s="14" t="s">
        <v>14</v>
      </c>
      <c r="B9" s="15" t="s">
        <v>193</v>
      </c>
    </row>
    <row r="10" spans="1:2" ht="33.75" customHeight="1" x14ac:dyDescent="0.3">
      <c r="A10" s="14" t="s">
        <v>194</v>
      </c>
      <c r="B10" s="15" t="s">
        <v>195</v>
      </c>
    </row>
    <row r="12" spans="1:2" ht="48.8" customHeight="1" x14ac:dyDescent="0.3">
      <c r="A12" s="14" t="s">
        <v>198</v>
      </c>
      <c r="B12" s="15" t="s">
        <v>199</v>
      </c>
    </row>
    <row r="13">
      <c r="A13" s="14" t="inlineStr">
        <is>
          <t>Skiften</t>
        </is>
      </c>
      <c r="B13" s="15" t="inlineStr">
        <is>
          <t xml:space="preserve">ShiftSwedens tre skiften. 1 Cirkulärt byggande: från resurskrävande linjära byggprocesser till hållbara och värdeskapande cirkulära affärsmodeller. 2 Ny frihetsreform för resande: från ohållbara transporter till en ny frihetsreform med konkurrenskraftiga alternativ till enskilt bilresande. 3 Byggd miljö möter mobilitet: från skilda sektorer till integrerade arbetssätt och lösningar i mötet mellan byggd miljö och mobilitet. Tvärgående: punkter som berör flera skiften.</t>
        </is>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Kalkylblad</vt:lpstr>
      </vt:variant>
      <vt:variant>
        <vt:i4>3</vt:i4>
      </vt:variant>
    </vt:vector>
  </HeadingPairs>
  <TitlesOfParts>
    <vt:vector size="3" baseType="lpstr">
      <vt:lpstr>Logg</vt:lpstr>
      <vt:lpstr>Översikt</vt:lpstr>
      <vt:lpstr>Så använder vi loggen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IQ Samhällsbyggnad och Engströms Mickla AB</dc:creator>
  <dc:description/>
  <cp:lastModifiedBy>IQ Samhällsbyggnad och Engströms Mickla AB</cp:lastModifiedBy>
  <cp:revision>0</cp:revision>
  <dcterms:created xsi:type="dcterms:W3CDTF">2026-10-02T09:32:03Z</dcterms:created>
  <dcterms:modified xsi:type="dcterms:W3CDTF">2026-10-07T11:59:00Z</dcterms:modified>
  <dc:language>en-US</dc:language>
</cp:coreProperties>
</file>