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0D12D461-74BB-4166-88F3-18464BF9CC1D}" xr6:coauthVersionLast="47" xr6:coauthVersionMax="47" xr10:uidLastSave="{00000000-0000-0000-0000-000000000000}"/>
  <bookViews>
    <workbookView xWindow="602" yWindow="258" windowWidth="19418" windowHeight="10435" xr2:uid="{00000000-000D-0000-FFFF-FFFF00000000}"/>
  </bookViews>
  <sheets>
    <sheet name="Logg" sheetId="1" r:id="rId1"/>
    <sheet name="Översikt" sheetId="2" r:id="rId2"/>
    <sheet name="Så använder vi loggen" sheetId="3" r:id="rId3"/>
  </sheets>
  <definedNames>
    <definedName name="_xlnm._FilterDatabase" localSheetId="0" hidden="1">Logg!$A$4:$O$60</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<sst xmlns="http://schemas.openxmlformats.org/spreadsheetml/2006/main" count="43" uniqueCount="43">
  <si>
    <t xml:space="preserve">Exempel: logg över hävstångspunkter och möjlighetsfönster (påhittat innehåll)</t>
  </si>
  <si>
    <t xml:space="preserve">En rad per hävstångspunkt. Fyll i det gula, låt Förslag räkna, och välj Gruppens val tillsammans på mötet. Översikten ligger på fliken Översikt. Filtrera gärna, sortera fritt.</t>
  </si>
  <si>
    <t xml:space="preserve">Nr</t>
  </si>
  <si>
    <t xml:space="preserve">Hävstångspunkt</t>
  </si>
  <si>
    <t xml:space="preserve">Låset (en mening)</t>
  </si>
  <si>
    <t xml:space="preserve">Vem kan agera</t>
  </si>
  <si>
    <t xml:space="preserve">Skifte</t>
  </si>
  <si>
    <t xml:space="preserve">Hävstång</t>
  </si>
  <si>
    <t xml:space="preserve">Räckvidd</t>
  </si>
  <si>
    <t xml:space="preserve">Fönster: vad öppnar sig?</t>
  </si>
  <si>
    <t xml:space="preserve">Fönster nu?</t>
  </si>
  <si>
    <t xml:space="preserve">Förslag</t>
  </si>
  <si>
    <t xml:space="preserve">Gruppens val</t>
  </si>
  <si>
    <t xml:space="preserve">Nästa steg och ansvarig</t>
  </si>
  <si>
    <t xml:space="preserve">Lärdom efter cykeln</t>
  </si>
  <si>
    <t xml:space="preserve">Källa</t>
  </si>
  <si>
    <t xml:space="preserve">Uppdaterad</t>
  </si>
  <si>
    <t xml:space="preserve">Hög</t>
  </si>
  <si>
    <t xml:space="preserve">Öppet nu</t>
  </si>
  <si>
    <t xml:space="preserve">Medel</t>
  </si>
  <si>
    <t xml:space="preserve">Snart</t>
  </si>
  <si>
    <t xml:space="preserve">Låg</t>
  </si>
  <si>
    <t xml:space="preserve">Vet ej</t>
  </si>
  <si>
    <t xml:space="preserve">Stängt</t>
  </si>
  <si>
    <t xml:space="preserve">Översikt: de stora dragen</t>
  </si>
  <si>
    <t xml:space="preserve">Hävstång nedåt, fönster i sidled. * betyder svår att nå (Räckvidd låg). Rutan uppe till vänster (hög hävstång, öppet fönster) är det vi diskuterar först.</t>
  </si>
  <si>
    <t xml:space="preserve">Hävstång \ Fönster</t>
  </si>
  <si>
    <t xml:space="preserve">Så använder vi loggen</t>
  </si>
  <si>
    <t xml:space="preserve">Syfte</t>
  </si>
  <si>
    <t xml:space="preserve">Ge gruppen en gemensam bild av var systemet går att rubba och när, så att vi kan prioritera tillsammans. Loggen är ett diskussionsunderlag, inte en exakt mätning.</t>
  </si>
  <si>
    <t xml:space="preserve">En rad är</t>
  </si>
  <si>
    <t xml:space="preserve">En hävstångspunkt: ett ställe där en liten insats kan ge stor effekt. Skriv rubrik, låset i en mening och vem som kan agera.</t>
  </si>
  <si>
    <t xml:space="preserve">Hög, Medel eller Låg: hur stor effekt blir det om låset rubbas? Känn efter, ingen exakthet behövs.</t>
  </si>
  <si>
    <t xml:space="preserve">Hög, Medel eller Låg: kan vi nå de som kan agera?</t>
  </si>
  <si>
    <t xml:space="preserve">Fönster</t>
  </si>
  <si>
    <t xml:space="preserve">Ett fönster är något som öppnar sig: ett beslut, en utredning, en upphandling eller ett stort omvandlingsprojekt. Skriv det kort och välj Öppet nu, Snart, Stängt eller Vet ej. Avsluta gärna fönstertexten med hur säker uppgiften är och skriv källan i kolumnen Källa.</t>
  </si>
  <si>
    <t xml:space="preserve">Räknas automatiskt: Ta upp nu när hävstången är medel eller hög, fönstret är öppet och räckvidden inte är låg. Bevaka fönster när hävstången är hög men fönstret inte är öppet. Annars Parkera. Förslaget är bara en utgångspunkt.</t>
  </si>
  <si>
    <t xml:space="preserve">Fylls i på mötet efter diskussion: Ta upp nu, Bevaka, Parkera eller Klar. Skriv nästa steg och ansvarig i kolumnen bredvid.</t>
  </si>
  <si>
    <t xml:space="preserve">Fylls i på utvärderingsmötet: en mening om vad vi lärde oss, till exempel om hävstången var rätt bedömd, om fönstret öppnades och vad som överraskade. Justera samtidigt Hävstång, Räckvidd och Fönster nu och sätt Gruppens val till Klar, Bevaka eller Parkera.</t>
  </si>
  <si>
    <t xml:space="preserve">Bra att kolla (valfritt)</t>
  </si>
  <si>
    <t xml:space="preserve">En stark punkt har oftast: ett konkret lås, fler än en berörd aktör, ett pågående beslutsläge, något som gick emot förväntan och aktörer inom räckhåll.</t>
  </si>
  <si>
    <t xml:space="preserve">Exempel</t>
  </si>
  <si>
    <t xml:space="preserve">Allt innehåll på fliken Logg i den här filen är påhittat och visar bara hur loggen fungerar.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</si>
</sst>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color rgb="FF1E2761"/>
      <name val="Cambria"/>
      <charset val="1"/>
    </font>
    <font>
      <sz val="11"/>
      <color rgb="FF555555"/>
      <name val="Cambria"/>
      <charset val="1"/>
    </font>
    <font>
      <b/>
      <sz val="11"/>
      <color rgb="FFFFFFFF"/>
      <name val="Calibri"/>
      <charset val="1"/>
    </font>
    <font>
      <b/>
      <sz val="11"/>
      <name val="Cambria"/>
      <charset val="1"/>
    </font>
    <font>
      <b/>
      <sz val="11"/>
      <color rgb="FF000000"/>
      <name val="Cambria"/>
      <charset val="1"/>
    </font>
  </fonts>
  <fills count="7">
    <fill>
      <patternFill patternType="none"/>
    </fill>
    <fill>
      <patternFill patternType="gray125"/>
    </fill>
    <fill>
      <patternFill patternType="solid">
        <fgColor rgb="FF1E2761"/>
        <bgColor rgb="FF333333"/>
      </patternFill>
    </fill>
    <fill>
      <patternFill patternType="solid">
        <fgColor rgb="FFFFF9DB"/>
        <bgColor rgb="FFF2F2F2"/>
      </patternFill>
    </fill>
    <fill>
      <patternFill patternType="solid">
        <fgColor rgb="FFF2F2F2"/>
        <bgColor rgb="FFE8F5E9"/>
      </patternFill>
    </fill>
    <fill>
      <patternFill patternType="solid">
        <fgColor rgb="FFE8F5E9"/>
        <bgColor rgb="FFF2F2F2"/>
      </patternFill>
    </fill>
    <fill>
      <patternFill patternType="solid">
        <fgColor rgb="FFFFFFFF"/>
        <bgColor rgb="FFFFF9D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2" fillId="0" borderId="0" xfId="0" applyFont="1"/>
    <xf numFmtId="0" fontId="1" fillId="0" borderId="0" xfId="0" applyFont="1"/>
    <xf numFmtId="0" fontId="1" fillId="0" borderId="0" xfId="0" applyFont="1"/>
    <xf numFmtId="0" fontId="3"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3" fillId="2" borderId="0" xfId="0" applyFont="1" applyFill="1"/>
    <xf numFmtId="0" fontId="3" fillId="2" borderId="0" xfId="0" applyFont="1" applyFill="1" applyAlignment="1">
      <alignment horizontal="center"/>
    </xf>
    <xf numFmtId="0" fontId="4" fillId="0" borderId="0" xfId="0" applyFont="1" applyAlignment="1">
      <alignment vertical="center"/>
    </xf>
    <xf numFmtId="0" fontId="0" fillId="5" borderId="1" xfId="0" applyFill="1" applyBorder="1" applyAlignment="1">
      <alignment vertical="top" wrapText="1"/>
    </xf>
    <xf numFmtId="0" fontId="0" fillId="6" borderId="1" xfId="0" applyFill="1" applyBorder="1" applyAlignment="1">
      <alignment vertical="top" wrapText="1"/>
    </xf>
    <xf numFmtId="0" fontId="1" fillId="0" borderId="0" xfId="0" applyFont="1" applyAlignment="1">
      <alignment vertical="top" wrapText="1"/>
    </xf>
    <xf numFmtId="0" fontId="5" fillId="0" borderId="0" xfId="0" applyFont="1" applyAlignment="1">
      <alignment vertical="top" wrapText="1"/>
    </xf>
    <xf numFmtId="0" fontId="0" fillId="0" borderId="0" xfId="0" applyAlignment="1">
      <alignment vertical="top" wrapText="1"/>
    </xf>
  </cellXfs>
  <cellStyles count="1">
    <cellStyle name="Normal" xfId="0" builtinId="0"/>
  </cellStyles>
  <dxfs count="8">
    <dxf>
      <fill>
        <patternFill>
          <bgColor rgb="FFFFEB9C"/>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4CCCC"/>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DB"/>
      <rgbColor rgb="FFE8F5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4CCCC"/>
      <rgbColor rgb="FF3366FF"/>
      <rgbColor rgb="FF33CCCC"/>
      <rgbColor rgb="FF99CC00"/>
      <rgbColor rgb="FFFFCC00"/>
      <rgbColor rgb="FFFF9900"/>
      <rgbColor rgb="FFFF6600"/>
      <rgbColor rgb="FF555555"/>
      <rgbColor rgb="FF969696"/>
      <rgbColor rgb="FF1E2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0"/>
  <sheetViews>
    <sheetView tabSelected="1" zoomScale="80" zoomScaleNormal="80" workbookViewId="0">
      <pane xSplit="2" ySplit="4" topLeftCell="C5" activePane="bottomRight" state="frozen"/>
      <selection pane="topRight" activeCell="C1" sqref="C1"/>
      <selection pane="bottomLeft" activeCell="A5" sqref="A5"/>
      <selection pane="bottomRight" activeCell="C5" sqref="C5"/>
    </sheetView>
  </sheetViews>
  <sheetFormatPr defaultColWidth="8.69921875" defaultRowHeight="14" x14ac:dyDescent="0.3"/>
  <cols>
    <col min="1" max="1" width="8" customWidth="1"/>
    <col min="2" max="2" width="38" customWidth="1"/>
    <col min="3" max="3" width="48" customWidth="1"/>
    <col min="4" max="4" width="34" customWidth="1"/>
    <col min="5" max="5" width="13" customWidth="1"/>
    <col min="6" max="7" width="11" customWidth="1"/>
    <col min="8" max="8" width="52" customWidth="1"/>
    <col min="9" max="9" width="12" customWidth="1"/>
    <col min="10" max="10" width="16" customWidth="1"/>
    <col min="11" max="11" width="14" customWidth="1"/>
    <col min="12" max="12" width="30" customWidth="1"/>
    <col min="13" max="13" width="36" customWidth="1"/>
    <col min="14" max="14" width="40" customWidth="1"/>
    <col min="15" max="15" width="12" customWidth="1"/>
  </cols>
  <sheetData>
    <row r="1" spans="1:15" ht="17.75" x14ac:dyDescent="0.35">
      <c r="A1" s="2" t="s">
        <v>0</v>
      </c>
      <c r="B1" s="2"/>
      <c r="C1" s="2"/>
      <c r="D1" s="2"/>
      <c r="E1" s="2"/>
      <c r="F1" s="2"/>
      <c r="G1" s="2"/>
      <c r="H1" s="2"/>
      <c r="I1" s="2"/>
      <c r="J1" s="2"/>
      <c r="K1" s="2"/>
      <c r="L1" s="2"/>
      <c r="M1" s="2"/>
      <c r="N1" s="2"/>
      <c r="O1" s="2"/>
    </row>
    <row r="2" spans="1:15" x14ac:dyDescent="0.3">
      <c r="A2" s="1" t="s">
        <v>1</v>
      </c>
      <c r="B2" s="1"/>
      <c r="C2" s="1"/>
      <c r="D2" s="1"/>
      <c r="E2" s="1"/>
      <c r="F2" s="1"/>
      <c r="G2" s="1"/>
      <c r="H2" s="1"/>
      <c r="I2" s="1"/>
      <c r="J2" s="1"/>
      <c r="K2" s="1"/>
      <c r="L2" s="1"/>
      <c r="M2" s="1"/>
      <c r="N2" s="1"/>
      <c r="O2" s="1"/>
    </row>
    <row r="4" spans="1:15" ht="31.6" customHeight="1" x14ac:dyDescent="0.3">
      <c r="A4" s="4" t="s">
        <v>2</v>
      </c>
      <c r="B4" s="4" t="s">
        <v>3</v>
      </c>
      <c r="C4" s="4" t="s">
        <v>4</v>
      </c>
      <c r="D4" s="4" t="s">
        <v>5</v>
      </c>
      <c r="E4" s="4" t="s">
        <v>6</v>
      </c>
      <c r="F4" s="4" t="s">
        <v>7</v>
      </c>
      <c r="G4" s="4" t="s">
        <v>8</v>
      </c>
      <c r="H4" s="4" t="s">
        <v>9</v>
      </c>
      <c r="I4" s="4" t="s">
        <v>10</v>
      </c>
      <c r="J4" s="4" t="s">
        <v>11</v>
      </c>
      <c r="K4" s="4" t="s">
        <v>12</v>
      </c>
      <c r="L4" s="4" t="s">
        <v>13</v>
      </c>
      <c r="M4" s="4" t="s">
        <v>14</v>
      </c>
      <c r="N4" s="4" t="s">
        <v>15</v>
      </c>
      <c r="O4" s="4" t="s">
        <v>16</v>
      </c>
    </row>
    <row r="5" spans="1:15" ht="78.05" customHeight="1" x14ac:dyDescent="0.3">
      <c r="A5" s="5" t="inlineStr">
        <is>
          <t xml:space="preserve">HP-001</t>
        </is>
      </c>
      <c r="B5" s="6" t="inlineStr">
        <is>
          <t xml:space="preserve">Lärande som stannar i projekten</t>
        </is>
      </c>
      <c r="C5" s="6" t="inlineStr">
        <is>
          <t xml:space="preserve">Projekt avslutas och erfarenheterna försvinner med projektgruppen.</t>
        </is>
      </c>
      <c r="D5" s="6" t="inlineStr">
        <is>
          <t xml:space="preserve">Exempelstads kommun, regionens utvecklingsenhet.</t>
        </is>
      </c>
      <c r="E5" s="6" t="inlineStr">
        <is>
          <t xml:space="preserve">Tvärgående</t>
        </is>
      </c>
      <c r="F5" s="6" t="inlineStr">
        <is>
          <t xml:space="preserve">Hög</t>
        </is>
      </c>
      <c r="G5" s="6" t="inlineStr">
        <is>
          <t xml:space="preserve">Hög</t>
        </is>
      </c>
      <c r="H5" s="6" t="inlineStr">
        <is>
          <t xml:space="preserve">Kommunens nya utvecklingsprogram remitteras i höst och anger vem som äger uppföljningen. Säkerhet: medel.</t>
        </is>
      </c>
      <c r="I5" s="6" t="inlineStr">
        <is>
          <t xml:space="preserve">Öppet nu</t>
        </is>
      </c>
      <c r="J5" s="7" t="str">
        <f t="shared" ref="J5:J36" si="0">IF(B5="","",IF(AND(I5="Öppet nu",F5&lt;&gt;"Låg",G5&lt;&gt;"Låg"),"Ta upp nu",IF(F5="Hög","Bevaka fönster","Parkera")))</f>
        <v>Ta upp nu</v>
      </c>
      <c r="K5" s="6"/>
      <c r="L5" s="6"/>
      <c r="M5" s="6"/>
      <c r="N5" s="6" t="inlineStr">
        <is>
          <t xml:space="preserve">Påhittat exempel</t>
        </is>
      </c>
      <c r="O5" s="5" t="inlineStr">
        <is>
          <t xml:space="preserve">2026-10-02</t>
        </is>
      </c>
    </row>
    <row r="6" spans="1:15" ht="78.05" customHeight="1" x14ac:dyDescent="0.3">
      <c r="A6" s="5" t="inlineStr">
        <is>
          <t xml:space="preserve">HP-002</t>
        </is>
      </c>
      <c r="B6" s="6" t="inlineStr">
        <is>
          <t xml:space="preserve">Parkeringsnorm i nya stadsdelar</t>
        </is>
      </c>
      <c r="C6" s="6" t="inlineStr">
        <is>
          <t xml:space="preserve">Hög norm låser markanvändningen och gör bilen till standardval.</t>
        </is>
      </c>
      <c r="D6" s="6" t="inlineStr">
        <is>
          <t xml:space="preserve">Exempelstads stadsbyggnadsnämnd.</t>
        </is>
      </c>
      <c r="E6" s="6" t="inlineStr">
        <is>
          <t xml:space="preserve">2 Mobilitet</t>
        </is>
      </c>
      <c r="F6" s="6" t="inlineStr">
        <is>
          <t xml:space="preserve">Hög</t>
        </is>
      </c>
      <c r="G6" s="6" t="inlineStr">
        <is>
          <t xml:space="preserve">Medel</t>
        </is>
      </c>
      <c r="H6" s="6" t="inlineStr">
        <is>
          <t xml:space="preserve">Ny parkeringspolicy ska antas under våren. Säkerhet: hög.</t>
        </is>
      </c>
      <c r="I6" s="6" t="inlineStr">
        <is>
          <t xml:space="preserve">Snart</t>
        </is>
      </c>
      <c r="J6" s="7" t="str">
        <f t="shared" si="0"/>
        <v>Bevaka fönster</v>
      </c>
      <c r="K6" s="6"/>
      <c r="L6" s="6"/>
      <c r="M6" s="6"/>
      <c r="N6" s="6" t="inlineStr">
        <is>
          <t xml:space="preserve">Påhittat exempel</t>
        </is>
      </c>
      <c r="O6" s="5" t="inlineStr">
        <is>
          <t xml:space="preserve">2026-10-02</t>
        </is>
      </c>
    </row>
    <row r="7" spans="1:15" ht="78.05" customHeight="1" x14ac:dyDescent="0.3">
      <c r="A7" s="5" t="inlineStr">
        <is>
          <t xml:space="preserve">HP-003</t>
        </is>
      </c>
      <c r="B7" s="6" t="inlineStr">
        <is>
          <t xml:space="preserve">Återbruk av stomme vid ombyggnad</t>
        </is>
      </c>
      <c r="C7" s="6" t="inlineStr">
        <is>
          <t xml:space="preserve">Kalkylerna jämför bara nybyggnad och rivning, inte återbruk.</t>
        </is>
      </c>
      <c r="D7" s="6" t="inlineStr">
        <is>
          <t xml:space="preserve">Fastighetsbolaget Exempelhem, kommunens lokalförvaltning.</t>
        </is>
      </c>
      <c r="E7" s="6" t="inlineStr">
        <is>
          <t xml:space="preserve">1 Cirkulärt</t>
        </is>
      </c>
      <c r="F7" s="6" t="inlineStr">
        <is>
          <t xml:space="preserve">Hög</t>
        </is>
      </c>
      <c r="G7" s="6" t="inlineStr">
        <is>
          <t xml:space="preserve">Hög</t>
        </is>
      </c>
      <c r="H7" s="6" t="inlineStr">
        <is>
          <t xml:space="preserve">Upphandling av ramavtal för ombyggnad startar i november. Säkerhet: medel.</t>
        </is>
      </c>
      <c r="I7" s="6" t="inlineStr">
        <is>
          <t xml:space="preserve">Öppet nu</t>
        </is>
      </c>
      <c r="J7" s="7" t="str">
        <f t="shared" si="0"/>
        <v>Ta upp nu</v>
      </c>
      <c r="K7" s="6"/>
      <c r="L7" s="6"/>
      <c r="M7" s="6"/>
      <c r="N7" s="6" t="inlineStr">
        <is>
          <t xml:space="preserve">Påhittat exempel</t>
        </is>
      </c>
      <c r="O7" s="5" t="inlineStr">
        <is>
          <t xml:space="preserve">2026-10-02</t>
        </is>
      </c>
    </row>
    <row r="8" spans="1:15" ht="78.05" customHeight="1" x14ac:dyDescent="0.3">
      <c r="A8" s="5" t="inlineStr">
        <is>
          <t xml:space="preserve">HP-004</t>
        </is>
      </c>
      <c r="B8" s="6" t="inlineStr">
        <is>
          <t xml:space="preserve">Kvällstrafik till ytterområden</t>
        </is>
      </c>
      <c r="C8" s="6" t="inlineStr">
        <is>
          <t xml:space="preserve">Unga i ytterområden saknar sätt att ta sig hem efter klockan 20.</t>
        </is>
      </c>
      <c r="D8" s="6" t="inlineStr">
        <is>
          <t xml:space="preserve">Region Exempel (kollektivtrafik).</t>
        </is>
      </c>
      <c r="E8" s="6" t="inlineStr">
        <is>
          <t xml:space="preserve">2 Mobilitet</t>
        </is>
      </c>
      <c r="F8" s="6" t="inlineStr">
        <is>
          <t xml:space="preserve">Medel</t>
        </is>
      </c>
      <c r="G8" s="6" t="inlineStr">
        <is>
          <t xml:space="preserve">Hög</t>
        </is>
      </c>
      <c r="H8" s="6" t="inlineStr">
        <is>
          <t xml:space="preserve">Trafikplanen för nästa år är redan beslutad. Säkerhet: hög.</t>
        </is>
      </c>
      <c r="I8" s="6" t="inlineStr">
        <is>
          <t xml:space="preserve">Stängt</t>
        </is>
      </c>
      <c r="J8" s="7" t="str">
        <f t="shared" si="0"/>
        <v>Parkera</v>
      </c>
      <c r="K8" s="6"/>
      <c r="L8" s="6"/>
      <c r="M8" s="6"/>
      <c r="N8" s="6" t="inlineStr">
        <is>
          <t xml:space="preserve">Påhittat exempel</t>
        </is>
      </c>
      <c r="O8" s="5" t="inlineStr">
        <is>
          <t xml:space="preserve">2026-10-02</t>
        </is>
      </c>
    </row>
    <row r="9" spans="1:15" ht="78.05" customHeight="1" x14ac:dyDescent="0.3">
      <c r="A9" s="5" t="inlineStr">
        <is>
          <t xml:space="preserve">HP-005</t>
        </is>
      </c>
      <c r="B9" s="6" t="inlineStr">
        <is>
          <t xml:space="preserve">Samverkan mellan många fastighetsägare</t>
        </is>
      </c>
      <c r="C9" s="6" t="inlineStr">
        <is>
          <t xml:space="preserve">Ingen part äger helheten när ett industriområde ska bli blandstad.</t>
        </is>
      </c>
      <c r="D9" s="6" t="inlineStr">
        <is>
          <t xml:space="preserve">Kommunen och ett 40-tal fastighetsägare.</t>
        </is>
      </c>
      <c r="E9" s="6" t="inlineStr">
        <is>
          <t xml:space="preserve">3 Samspel</t>
        </is>
      </c>
      <c r="F9" s="6" t="inlineStr">
        <is>
          <t xml:space="preserve">Medel</t>
        </is>
      </c>
      <c r="G9" s="6" t="inlineStr">
        <is>
          <t xml:space="preserve">Medel</t>
        </is>
      </c>
      <c r="H9" s="6" t="inlineStr">
        <is>
          <t xml:space="preserve">Programarbete för området väntas, inget datum. Säkerhet: låg.</t>
        </is>
      </c>
      <c r="I9" s="6" t="inlineStr">
        <is>
          <t xml:space="preserve">Vet ej</t>
        </is>
      </c>
      <c r="J9" s="7" t="str">
        <f t="shared" si="0"/>
        <v>Parkera</v>
      </c>
      <c r="K9" s="6"/>
      <c r="L9" s="6"/>
      <c r="M9" s="6"/>
      <c r="N9" s="6" t="inlineStr">
        <is>
          <t xml:space="preserve">Påhittat exempel</t>
        </is>
      </c>
      <c r="O9" s="5" t="inlineStr">
        <is>
          <t xml:space="preserve">2026-10-02</t>
        </is>
      </c>
    </row>
    <row r="10" spans="1:15" ht="78.05" customHeight="1" x14ac:dyDescent="0.3">
      <c r="A10" s="5" t="inlineStr">
        <is>
          <t xml:space="preserve">HP-006</t>
        </is>
      </c>
      <c r="B10" s="6" t="inlineStr">
        <is>
          <t xml:space="preserve">Gemensam data om återbrukat material</t>
        </is>
      </c>
      <c r="C10" s="6" t="inlineStr">
        <is>
          <t xml:space="preserve">Utbudet är svårt att hitta och ansvaret för materialens egenskaper är oklart.</t>
        </is>
      </c>
      <c r="D10" s="6" t="inlineStr">
        <is>
          <t xml:space="preserve">Branschorganisationer, materialbanker.</t>
        </is>
      </c>
      <c r="E10" s="6" t="inlineStr">
        <is>
          <t xml:space="preserve">1 Cirkulärt</t>
        </is>
      </c>
      <c r="F10" s="6" t="inlineStr">
        <is>
          <t xml:space="preserve">Medel</t>
        </is>
      </c>
      <c r="G10" s="6" t="inlineStr">
        <is>
          <t xml:space="preserve">Hög</t>
        </is>
      </c>
      <c r="H10" s="6" t="inlineStr">
        <is>
          <t xml:space="preserve">En nationell vägledning är på remiss till årsskiftet. Säkerhet: medel.</t>
        </is>
      </c>
      <c r="I10" s="6" t="inlineStr">
        <is>
          <t xml:space="preserve">Öppet nu</t>
        </is>
      </c>
      <c r="J10" s="7" t="str">
        <f t="shared" si="0"/>
        <v>Ta upp nu</v>
      </c>
      <c r="K10" s="6"/>
      <c r="L10" s="6"/>
      <c r="M10" s="6"/>
      <c r="N10" s="6" t="inlineStr">
        <is>
          <t xml:space="preserve">Påhittat exempel</t>
        </is>
      </c>
      <c r="O10" s="5" t="inlineStr">
        <is>
          <t xml:space="preserve">2026-10-02</t>
        </is>
      </c>
    </row>
    <row r="11" spans="1:15" ht="78.05" customHeight="1" x14ac:dyDescent="0.3">
      <c r="A11" s="5" t="inlineStr">
        <is>
          <t xml:space="preserve">HP-007</t>
        </is>
      </c>
      <c r="B11" s="6" t="inlineStr">
        <is>
          <t xml:space="preserve">Lägre hastighet som standard i tätort</t>
        </is>
      </c>
      <c r="C11" s="6" t="inlineStr">
        <is>
          <t xml:space="preserve">Varje sänkning kräver ett eget beslut och egen skyltning.</t>
        </is>
      </c>
      <c r="D11" s="6" t="inlineStr">
        <is>
          <t xml:space="preserve">Staten, kommuner.</t>
        </is>
      </c>
      <c r="E11" s="6" t="inlineStr">
        <is>
          <t xml:space="preserve">2 Mobilitet</t>
        </is>
      </c>
      <c r="F11" s="6" t="inlineStr">
        <is>
          <t xml:space="preserve">Hög</t>
        </is>
      </c>
      <c r="G11" s="6" t="inlineStr">
        <is>
          <t xml:space="preserve">Låg</t>
        </is>
      </c>
      <c r="H11" s="6" t="inlineStr">
        <is>
          <t xml:space="preserve">Inget beslut i sikte. Säkerhet: låg.</t>
        </is>
      </c>
      <c r="I11" s="6" t="inlineStr">
        <is>
          <t xml:space="preserve">Vet ej</t>
        </is>
      </c>
      <c r="J11" s="7" t="str">
        <f t="shared" si="0"/>
        <v>Bevaka fönster</v>
      </c>
      <c r="K11" s="6"/>
      <c r="L11" s="6"/>
      <c r="M11" s="6"/>
      <c r="N11" s="6" t="inlineStr">
        <is>
          <t xml:space="preserve">Påhittat exempel</t>
        </is>
      </c>
      <c r="O11" s="5" t="inlineStr">
        <is>
          <t xml:space="preserve">2026-10-02</t>
        </is>
      </c>
    </row>
    <row r="12" spans="1:15" ht="78.05" customHeight="1" x14ac:dyDescent="0.3">
      <c r="A12" s="5" t="inlineStr">
        <is>
          <t xml:space="preserve">HP-008</t>
        </is>
      </c>
      <c r="B12" s="6" t="inlineStr">
        <is>
          <t xml:space="preserve">Bygdegårdar som mötesplatser</t>
        </is>
      </c>
      <c r="C12" s="6" t="inlineStr">
        <is>
          <t xml:space="preserve">Lokalerna säljs eller står tomma när föreningarna krymper.</t>
        </is>
      </c>
      <c r="D12" s="6" t="inlineStr">
        <is>
          <t xml:space="preserve">Föreningar, kommuner på landsbygden.</t>
        </is>
      </c>
      <c r="E12" s="6" t="inlineStr">
        <is>
          <t xml:space="preserve">3 Samspel</t>
        </is>
      </c>
      <c r="F12" s="6" t="inlineStr">
        <is>
          <t xml:space="preserve">Låg</t>
        </is>
      </c>
      <c r="G12" s="6" t="inlineStr">
        <is>
          <t xml:space="preserve">Medel</t>
        </is>
      </c>
      <c r="H12" s="6" t="inlineStr">
        <is>
          <t xml:space="preserve">Kommunens landsbygdsprogram revideras nästa år. Säkerhet: medel.</t>
        </is>
      </c>
      <c r="I12" s="6" t="inlineStr">
        <is>
          <t xml:space="preserve">Snart</t>
        </is>
      </c>
      <c r="J12" s="7" t="str">
        <f t="shared" si="0"/>
        <v>Parkera</v>
      </c>
      <c r="K12" s="6"/>
      <c r="L12" s="6"/>
      <c r="M12" s="6"/>
      <c r="N12" s="6" t="inlineStr">
        <is>
          <t xml:space="preserve">Påhittat exempel</t>
        </is>
      </c>
      <c r="O12" s="5" t="inlineStr">
        <is>
          <t xml:space="preserve">2026-10-02</t>
        </is>
      </c>
    </row>
    <row r="13" spans="1:15" ht="78.05" customHeight="1" x14ac:dyDescent="0.3">
      <c r="A13" s="5" t="inlineStr">
        <is>
          <t xml:space="preserve">HP-009</t>
        </is>
      </c>
      <c r="B13" s="6" t="inlineStr">
        <is>
          <t xml:space="preserve">Pengar för åtgärder före ny infrastruktur</t>
        </is>
      </c>
      <c r="C13" s="6" t="inlineStr">
        <is>
          <t xml:space="preserve">Ingen har mandat eller medel för åtgärder som minskar behovet av att bygga.</t>
        </is>
      </c>
      <c r="D13" s="6" t="inlineStr">
        <is>
          <t xml:space="preserve">Staten, regioner.</t>
        </is>
      </c>
      <c r="E13" s="6" t="inlineStr">
        <is>
          <t xml:space="preserve">2 Mobilitet</t>
        </is>
      </c>
      <c r="F13" s="6" t="inlineStr">
        <is>
          <t xml:space="preserve">Hög</t>
        </is>
      </c>
      <c r="G13" s="6" t="inlineStr">
        <is>
          <t xml:space="preserve">Medel</t>
        </is>
      </c>
      <c r="H13" s="6" t="inlineStr">
        <is>
          <t xml:space="preserve">Budgetarbetet pågår och nya styrsignaler kan komma. Säkerhet: medel.</t>
        </is>
      </c>
      <c r="I13" s="6" t="inlineStr">
        <is>
          <t xml:space="preserve">Öppet nu</t>
        </is>
      </c>
      <c r="J13" s="7" t="str">
        <f t="shared" si="0"/>
        <v>Ta upp nu</v>
      </c>
      <c r="K13" s="6"/>
      <c r="L13" s="6"/>
      <c r="M13" s="6"/>
      <c r="N13" s="6" t="inlineStr">
        <is>
          <t xml:space="preserve">Påhittat exempel</t>
        </is>
      </c>
      <c r="O13" s="5" t="inlineStr">
        <is>
          <t xml:space="preserve">2026-10-02</t>
        </is>
      </c>
    </row>
    <row r="14" spans="1:15" ht="78.05" customHeight="1" x14ac:dyDescent="0.3">
      <c r="A14" s="5" t="inlineStr">
        <is>
          <t xml:space="preserve">HP-010</t>
        </is>
      </c>
      <c r="B14" s="6" t="inlineStr">
        <is>
          <t xml:space="preserve">Återkommande mötesplats mellan aktörer</t>
        </is>
      </c>
      <c r="C14" s="6" t="inlineStr">
        <is>
          <t xml:space="preserve">Aktörerna möts bara i enskilda projekt, aldrig regelbundet.</t>
        </is>
      </c>
      <c r="D14" s="6" t="inlineStr">
        <is>
          <t xml:space="preserve">Programmets kansli.</t>
        </is>
      </c>
      <c r="E14" s="6" t="inlineStr">
        <is>
          <t xml:space="preserve">3 Samspel</t>
        </is>
      </c>
      <c r="F14" s="6" t="inlineStr">
        <is>
          <t xml:space="preserve">Medel</t>
        </is>
      </c>
      <c r="G14" s="6" t="inlineStr">
        <is>
          <t xml:space="preserve">Hög</t>
        </is>
      </c>
      <c r="H14" s="6" t="inlineStr">
        <is>
          <t xml:space="preserve">Programmets verksamhetsplan för nästa år skrivs nu. Säkerhet: hög.</t>
        </is>
      </c>
      <c r="I14" s="6" t="inlineStr">
        <is>
          <t xml:space="preserve">Öppet nu</t>
        </is>
      </c>
      <c r="J14" s="7" t="str">
        <f t="shared" si="0"/>
        <v>Ta upp nu</v>
      </c>
      <c r="K14" s="6"/>
      <c r="L14" s="6"/>
      <c r="M14" s="6"/>
      <c r="N14" s="6" t="inlineStr">
        <is>
          <t xml:space="preserve">Påhittat exempel</t>
        </is>
      </c>
      <c r="O14" s="5" t="inlineStr">
        <is>
          <t xml:space="preserve">2026-10-02</t>
        </is>
      </c>
    </row>
    <row r="15" spans="1:15" ht="78.05" customHeight="1" x14ac:dyDescent="0.3">
      <c r="A15" s="5" t="inlineStr">
        <is>
          <t xml:space="preserve">HP-011</t>
        </is>
      </c>
      <c r="B15" s="6" t="inlineStr">
        <is>
          <t xml:space="preserve">Renovering utan stora hyreshöjningar</t>
        </is>
      </c>
      <c r="C15" s="6" t="inlineStr">
        <is>
          <t xml:space="preserve">Renovering ger stora hyreshöjningar, och rivning blir lockande.</t>
        </is>
      </c>
      <c r="D15" s="6" t="inlineStr">
        <is>
          <t xml:space="preserve">Fastighetsägare, hyresgästorganisationer.</t>
        </is>
      </c>
      <c r="E15" s="6" t="inlineStr">
        <is>
          <t xml:space="preserve">1 Cirkulärt</t>
        </is>
      </c>
      <c r="F15" s="6" t="inlineStr">
        <is>
          <t xml:space="preserve">Medel</t>
        </is>
      </c>
      <c r="G15" s="6" t="inlineStr">
        <is>
          <t xml:space="preserve">Låg</t>
        </is>
      </c>
      <c r="H15" s="6" t="inlineStr">
        <is>
          <t xml:space="preserve">En utredning bereds; tidplanen är oklar. Säkerhet: låg.</t>
        </is>
      </c>
      <c r="I15" s="6" t="inlineStr">
        <is>
          <t xml:space="preserve">Öppet nu</t>
        </is>
      </c>
      <c r="J15" s="7" t="str">
        <f t="shared" si="0"/>
        <v>Parkera</v>
      </c>
      <c r="K15" s="6"/>
      <c r="L15" s="6"/>
      <c r="M15" s="6"/>
      <c r="N15" s="6" t="inlineStr">
        <is>
          <t xml:space="preserve">Påhittat exempel</t>
        </is>
      </c>
      <c r="O15" s="5" t="inlineStr">
        <is>
          <t xml:space="preserve">2026-10-02</t>
        </is>
      </c>
    </row>
    <row r="16" spans="1:15" ht="78.05" customHeight="1" x14ac:dyDescent="0.3">
      <c r="A16" s="5" t="inlineStr">
        <is>
          <t xml:space="preserve">HP-012</t>
        </is>
      </c>
      <c r="B16" s="6" t="inlineStr">
        <is>
          <t xml:space="preserve">Unga som medskapare i planeringen</t>
        </is>
      </c>
      <c r="C16" s="6" t="inlineStr">
        <is>
          <t xml:space="preserve">Ungas erfarenheter når inte planeringen.</t>
        </is>
      </c>
      <c r="D16" s="6" t="inlineStr">
        <is>
          <t xml:space="preserve">Exempelstads kommun, skolor.</t>
        </is>
      </c>
      <c r="E16" s="6" t="inlineStr">
        <is>
          <t xml:space="preserve">Tvärgående</t>
        </is>
      </c>
      <c r="F16" s="6" t="inlineStr">
        <is>
          <t xml:space="preserve">Medel</t>
        </is>
      </c>
      <c r="G16" s="6" t="inlineStr">
        <is>
          <t xml:space="preserve">Hög</t>
        </is>
      </c>
      <c r="H16" s="6" t="inlineStr">
        <is>
          <t xml:space="preserve">Översiktsplanen öppnar för samråd i vinter. Säkerhet: medel.</t>
        </is>
      </c>
      <c r="I16" s="6" t="inlineStr">
        <is>
          <t xml:space="preserve">Snart</t>
        </is>
      </c>
      <c r="J16" s="7" t="str">
        <f t="shared" si="0"/>
        <v>Parkera</v>
      </c>
      <c r="K16" s="6"/>
      <c r="L16" s="6"/>
      <c r="M16" s="6"/>
      <c r="N16" s="6" t="inlineStr">
        <is>
          <t xml:space="preserve">Påhittat exempel</t>
        </is>
      </c>
      <c r="O16" s="5" t="inlineStr">
        <is>
          <t xml:space="preserve">2026-10-02</t>
        </is>
      </c>
    </row>
    <row r="17" spans="1:15" ht="78.05" customHeight="1" x14ac:dyDescent="0.3">
      <c r="A17" s="5"/>
      <c r="B17" s="6"/>
      <c r="C17" s="6"/>
      <c r="D17" s="6"/>
      <c r="E17" s="6"/>
      <c r="F17" s="6"/>
      <c r="G17" s="6"/>
      <c r="H17" s="6"/>
      <c r="I17" s="6"/>
      <c r="J17" s="7" t="str">
        <f t="shared" si="0"/>
        <v/>
      </c>
      <c r="K17" s="6"/>
      <c r="L17" s="6"/>
      <c r="M17" s="6"/>
      <c r="N17" s="6"/>
      <c r="O17" s="5"/>
    </row>
    <row r="18" spans="1:15" ht="78.05" customHeight="1" x14ac:dyDescent="0.3">
      <c r="A18" s="5"/>
      <c r="B18" s="6"/>
      <c r="C18" s="6"/>
      <c r="D18" s="6"/>
      <c r="E18" s="6"/>
      <c r="F18" s="6"/>
      <c r="G18" s="6"/>
      <c r="H18" s="6"/>
      <c r="I18" s="6"/>
      <c r="J18" s="7" t="str">
        <f t="shared" si="0"/>
        <v/>
      </c>
      <c r="K18" s="6"/>
      <c r="L18" s="6"/>
      <c r="M18" s="6"/>
      <c r="N18" s="6"/>
      <c r="O18" s="5"/>
    </row>
    <row r="19" spans="1:15" ht="78.05" customHeight="1" x14ac:dyDescent="0.3">
      <c r="A19" s="5"/>
      <c r="B19" s="6"/>
      <c r="C19" s="6"/>
      <c r="D19" s="6"/>
      <c r="E19" s="6"/>
      <c r="F19" s="6"/>
      <c r="G19" s="6"/>
      <c r="H19" s="6"/>
      <c r="I19" s="6"/>
      <c r="J19" s="7" t="str">
        <f t="shared" si="0"/>
        <v/>
      </c>
      <c r="K19" s="6"/>
      <c r="L19" s="6"/>
      <c r="M19" s="6"/>
      <c r="N19" s="6"/>
      <c r="O19" s="5"/>
    </row>
    <row r="20" spans="1:15" ht="78.05" customHeight="1" x14ac:dyDescent="0.3">
      <c r="A20" s="5"/>
      <c r="B20" s="6"/>
      <c r="C20" s="6"/>
      <c r="D20" s="6"/>
      <c r="E20" s="6"/>
      <c r="F20" s="6"/>
      <c r="G20" s="6"/>
      <c r="H20" s="6"/>
      <c r="I20" s="6"/>
      <c r="J20" s="7" t="str">
        <f t="shared" si="0"/>
        <v/>
      </c>
      <c r="K20" s="6"/>
      <c r="L20" s="6"/>
      <c r="M20" s="6"/>
      <c r="N20" s="6"/>
      <c r="O20" s="5"/>
    </row>
    <row r="21" spans="1:15" ht="78.05" customHeight="1" x14ac:dyDescent="0.3">
      <c r="A21" s="5"/>
      <c r="B21" s="6"/>
      <c r="C21" s="6"/>
      <c r="D21" s="6"/>
      <c r="E21" s="6"/>
      <c r="F21" s="6"/>
      <c r="G21" s="6"/>
      <c r="H21" s="6"/>
      <c r="I21" s="6"/>
      <c r="J21" s="7" t="str">
        <f t="shared" si="0"/>
        <v/>
      </c>
      <c r="K21" s="6"/>
      <c r="L21" s="6"/>
      <c r="M21" s="6"/>
      <c r="N21" s="6"/>
      <c r="O21" s="5"/>
    </row>
    <row r="22" spans="1:15" ht="78.05" customHeight="1" x14ac:dyDescent="0.3">
      <c r="A22" s="5"/>
      <c r="B22" s="6"/>
      <c r="C22" s="6"/>
      <c r="D22" s="6"/>
      <c r="E22" s="6"/>
      <c r="F22" s="6"/>
      <c r="G22" s="6"/>
      <c r="H22" s="6"/>
      <c r="I22" s="6"/>
      <c r="J22" s="7" t="str">
        <f t="shared" si="0"/>
        <v/>
      </c>
      <c r="K22" s="6"/>
      <c r="L22" s="6"/>
      <c r="M22" s="6"/>
      <c r="N22" s="6"/>
      <c r="O22" s="5"/>
    </row>
    <row r="23" spans="1:15" ht="78.05" customHeight="1" x14ac:dyDescent="0.3">
      <c r="A23" s="5"/>
      <c r="B23" s="6"/>
      <c r="C23" s="6"/>
      <c r="D23" s="6"/>
      <c r="E23" s="6"/>
      <c r="F23" s="6"/>
      <c r="G23" s="6"/>
      <c r="H23" s="6"/>
      <c r="I23" s="6"/>
      <c r="J23" s="7" t="str">
        <f t="shared" si="0"/>
        <v/>
      </c>
      <c r="K23" s="6"/>
      <c r="L23" s="6"/>
      <c r="M23" s="6"/>
      <c r="N23" s="6"/>
      <c r="O23" s="5"/>
    </row>
    <row r="24" spans="1:15" ht="78.05" customHeight="1" x14ac:dyDescent="0.3">
      <c r="A24" s="5"/>
      <c r="B24" s="6"/>
      <c r="C24" s="6"/>
      <c r="D24" s="6"/>
      <c r="E24" s="6"/>
      <c r="F24" s="6"/>
      <c r="G24" s="6"/>
      <c r="H24" s="6"/>
      <c r="I24" s="6"/>
      <c r="J24" s="7" t="str">
        <f t="shared" si="0"/>
        <v/>
      </c>
      <c r="K24" s="6"/>
      <c r="L24" s="6"/>
      <c r="M24" s="6"/>
      <c r="N24" s="6"/>
      <c r="O24" s="5"/>
    </row>
    <row r="25" spans="1:15" ht="78.05" customHeight="1" x14ac:dyDescent="0.3">
      <c r="A25" s="5"/>
      <c r="B25" s="6"/>
      <c r="C25" s="6"/>
      <c r="D25" s="6"/>
      <c r="E25" s="6"/>
      <c r="F25" s="6"/>
      <c r="G25" s="6"/>
      <c r="H25" s="6"/>
      <c r="I25" s="6"/>
      <c r="J25" s="7" t="str">
        <f t="shared" si="0"/>
        <v/>
      </c>
      <c r="K25" s="6"/>
      <c r="L25" s="6"/>
      <c r="M25" s="6"/>
      <c r="N25" s="6"/>
      <c r="O25" s="5"/>
    </row>
    <row r="26" spans="1:15" ht="78.05" customHeight="1" x14ac:dyDescent="0.3">
      <c r="A26" s="5"/>
      <c r="B26" s="6"/>
      <c r="C26" s="6"/>
      <c r="D26" s="6"/>
      <c r="E26" s="6"/>
      <c r="F26" s="6"/>
      <c r="G26" s="6"/>
      <c r="H26" s="6"/>
      <c r="I26" s="6"/>
      <c r="J26" s="7" t="str">
        <f t="shared" si="0"/>
        <v/>
      </c>
      <c r="K26" s="6"/>
      <c r="L26" s="6"/>
      <c r="M26" s="6"/>
      <c r="N26" s="6"/>
      <c r="O26" s="5"/>
    </row>
    <row r="27" spans="1:15" ht="78.05" customHeight="1" x14ac:dyDescent="0.3">
      <c r="A27" s="5"/>
      <c r="B27" s="6"/>
      <c r="C27" s="6"/>
      <c r="D27" s="6"/>
      <c r="E27" s="6"/>
      <c r="F27" s="6"/>
      <c r="G27" s="6"/>
      <c r="H27" s="6"/>
      <c r="I27" s="6"/>
      <c r="J27" s="7" t="str">
        <f t="shared" si="0"/>
        <v/>
      </c>
      <c r="K27" s="6"/>
      <c r="L27" s="6"/>
      <c r="M27" s="6"/>
      <c r="N27" s="6"/>
      <c r="O27" s="5"/>
    </row>
    <row r="28" spans="1:15" ht="78.05" customHeight="1" x14ac:dyDescent="0.3">
      <c r="A28" s="5"/>
      <c r="B28" s="6"/>
      <c r="C28" s="6"/>
      <c r="D28" s="6"/>
      <c r="E28" s="6"/>
      <c r="F28" s="6"/>
      <c r="G28" s="6"/>
      <c r="H28" s="6"/>
      <c r="I28" s="6"/>
      <c r="J28" s="7" t="str">
        <f t="shared" si="0"/>
        <v/>
      </c>
      <c r="K28" s="6"/>
      <c r="L28" s="6"/>
      <c r="M28" s="6"/>
      <c r="N28" s="6"/>
      <c r="O28" s="5"/>
    </row>
    <row r="29" spans="1:15" ht="78.05" customHeight="1" x14ac:dyDescent="0.3">
      <c r="A29" s="5"/>
      <c r="B29" s="6"/>
      <c r="C29" s="6"/>
      <c r="D29" s="6"/>
      <c r="E29" s="6"/>
      <c r="F29" s="6"/>
      <c r="G29" s="6"/>
      <c r="H29" s="6"/>
      <c r="I29" s="6"/>
      <c r="J29" s="7" t="str">
        <f t="shared" si="0"/>
        <v/>
      </c>
      <c r="K29" s="6"/>
      <c r="L29" s="6"/>
      <c r="M29" s="6"/>
      <c r="N29" s="6"/>
      <c r="O29" s="5"/>
    </row>
    <row r="30" spans="1:15" x14ac:dyDescent="0.3">
      <c r="A30" s="5"/>
      <c r="B30" s="6"/>
      <c r="C30" s="6"/>
      <c r="D30" s="6"/>
      <c r="E30" s="6"/>
      <c r="F30" s="6"/>
      <c r="G30" s="6"/>
      <c r="H30" s="6"/>
      <c r="I30" s="6"/>
      <c r="J30" s="7" t="str">
        <f t="shared" si="0"/>
        <v/>
      </c>
      <c r="K30" s="6"/>
      <c r="L30" s="6"/>
      <c r="M30" s="6"/>
      <c r="N30" s="6"/>
      <c r="O30" s="5"/>
    </row>
    <row r="31" spans="1:15" x14ac:dyDescent="0.3">
      <c r="A31" s="5"/>
      <c r="B31" s="6"/>
      <c r="C31" s="6"/>
      <c r="D31" s="6"/>
      <c r="E31" s="6"/>
      <c r="F31" s="6"/>
      <c r="G31" s="6"/>
      <c r="H31" s="6"/>
      <c r="I31" s="6"/>
      <c r="J31" s="7" t="str">
        <f t="shared" si="0"/>
        <v/>
      </c>
      <c r="K31" s="6"/>
      <c r="L31" s="6"/>
      <c r="M31" s="6"/>
      <c r="N31" s="6"/>
      <c r="O31" s="5"/>
    </row>
    <row r="32" spans="1:15" x14ac:dyDescent="0.3">
      <c r="A32" s="5"/>
      <c r="B32" s="6"/>
      <c r="C32" s="6"/>
      <c r="D32" s="6"/>
      <c r="E32" s="6"/>
      <c r="F32" s="6"/>
      <c r="G32" s="6"/>
      <c r="H32" s="6"/>
      <c r="I32" s="6"/>
      <c r="J32" s="7" t="str">
        <f t="shared" si="0"/>
        <v/>
      </c>
      <c r="K32" s="6"/>
      <c r="L32" s="6"/>
      <c r="M32" s="6"/>
      <c r="N32" s="6"/>
      <c r="O32" s="5"/>
    </row>
    <row r="33" spans="1:15" x14ac:dyDescent="0.3">
      <c r="A33" s="5"/>
      <c r="B33" s="6"/>
      <c r="C33" s="6"/>
      <c r="D33" s="6"/>
      <c r="E33" s="6"/>
      <c r="F33" s="6"/>
      <c r="G33" s="6"/>
      <c r="H33" s="6"/>
      <c r="I33" s="6"/>
      <c r="J33" s="7" t="str">
        <f t="shared" si="0"/>
        <v/>
      </c>
      <c r="K33" s="6"/>
      <c r="L33" s="6"/>
      <c r="M33" s="6"/>
      <c r="N33" s="6"/>
      <c r="O33" s="5"/>
    </row>
    <row r="34" spans="1:15" x14ac:dyDescent="0.3">
      <c r="A34" s="5"/>
      <c r="B34" s="6"/>
      <c r="C34" s="6"/>
      <c r="D34" s="6"/>
      <c r="E34" s="6"/>
      <c r="F34" s="6"/>
      <c r="G34" s="6"/>
      <c r="H34" s="6"/>
      <c r="I34" s="6"/>
      <c r="J34" s="7" t="str">
        <f t="shared" si="0"/>
        <v/>
      </c>
      <c r="K34" s="6"/>
      <c r="L34" s="6"/>
      <c r="M34" s="6"/>
      <c r="N34" s="6"/>
      <c r="O34" s="5"/>
    </row>
    <row r="35" spans="1:15" x14ac:dyDescent="0.3">
      <c r="A35" s="5"/>
      <c r="B35" s="6"/>
      <c r="C35" s="6"/>
      <c r="D35" s="6"/>
      <c r="E35" s="6"/>
      <c r="F35" s="6"/>
      <c r="G35" s="6"/>
      <c r="H35" s="6"/>
      <c r="I35" s="6"/>
      <c r="J35" s="7" t="str">
        <f t="shared" si="0"/>
        <v/>
      </c>
      <c r="K35" s="6"/>
      <c r="L35" s="6"/>
      <c r="M35" s="6"/>
      <c r="N35" s="6"/>
      <c r="O35" s="5"/>
    </row>
    <row r="36" spans="1:15" x14ac:dyDescent="0.3">
      <c r="A36" s="5"/>
      <c r="B36" s="6"/>
      <c r="C36" s="6"/>
      <c r="D36" s="6"/>
      <c r="E36" s="6"/>
      <c r="F36" s="6"/>
      <c r="G36" s="6"/>
      <c r="H36" s="6"/>
      <c r="I36" s="6"/>
      <c r="J36" s="7" t="str">
        <f t="shared" si="0"/>
        <v/>
      </c>
      <c r="K36" s="6"/>
      <c r="L36" s="6"/>
      <c r="M36" s="6"/>
      <c r="N36" s="6"/>
      <c r="O36" s="5"/>
    </row>
    <row r="37" spans="1:15" x14ac:dyDescent="0.3">
      <c r="A37" s="5"/>
      <c r="B37" s="6"/>
      <c r="C37" s="6"/>
      <c r="D37" s="6"/>
      <c r="E37" s="6"/>
      <c r="F37" s="6"/>
      <c r="G37" s="6"/>
      <c r="H37" s="6"/>
      <c r="I37" s="6"/>
      <c r="J37" s="7" t="str">
        <f t="shared" ref="J37:J68" si="1">IF(B37="","",IF(AND(I37="Öppet nu",F37&lt;&gt;"Låg",G37&lt;&gt;"Låg"),"Ta upp nu",IF(F37="Hög","Bevaka fönster","Parkera")))</f>
        <v/>
      </c>
      <c r="K37" s="6"/>
      <c r="L37" s="6"/>
      <c r="M37" s="6"/>
      <c r="N37" s="6"/>
      <c r="O37" s="5"/>
    </row>
    <row r="38" spans="1:15" x14ac:dyDescent="0.3">
      <c r="A38" s="5"/>
      <c r="B38" s="6"/>
      <c r="C38" s="6"/>
      <c r="D38" s="6"/>
      <c r="E38" s="6"/>
      <c r="F38" s="6"/>
      <c r="G38" s="6"/>
      <c r="H38" s="6"/>
      <c r="I38" s="6"/>
      <c r="J38" s="7" t="str">
        <f t="shared" si="1"/>
        <v/>
      </c>
      <c r="K38" s="6"/>
      <c r="L38" s="6"/>
      <c r="M38" s="6"/>
      <c r="N38" s="6"/>
      <c r="O38" s="5"/>
    </row>
    <row r="39" spans="1:15" x14ac:dyDescent="0.3">
      <c r="A39" s="5"/>
      <c r="B39" s="6"/>
      <c r="C39" s="6"/>
      <c r="D39" s="6"/>
      <c r="E39" s="6"/>
      <c r="F39" s="6"/>
      <c r="G39" s="6"/>
      <c r="H39" s="6"/>
      <c r="I39" s="6"/>
      <c r="J39" s="7" t="str">
        <f t="shared" si="1"/>
        <v/>
      </c>
      <c r="K39" s="6"/>
      <c r="L39" s="6"/>
      <c r="M39" s="6"/>
      <c r="N39" s="6"/>
      <c r="O39" s="5"/>
    </row>
    <row r="40" spans="1:15" x14ac:dyDescent="0.3">
      <c r="A40" s="5"/>
      <c r="B40" s="6"/>
      <c r="C40" s="6"/>
      <c r="D40" s="6"/>
      <c r="E40" s="6"/>
      <c r="F40" s="6"/>
      <c r="G40" s="6"/>
      <c r="H40" s="6"/>
      <c r="I40" s="6"/>
      <c r="J40" s="7" t="str">
        <f t="shared" si="1"/>
        <v/>
      </c>
      <c r="K40" s="6"/>
      <c r="L40" s="6"/>
      <c r="M40" s="6"/>
      <c r="N40" s="6"/>
      <c r="O40" s="5"/>
    </row>
    <row r="41" spans="1:15" x14ac:dyDescent="0.3">
      <c r="A41" s="5"/>
      <c r="B41" s="6"/>
      <c r="C41" s="6"/>
      <c r="D41" s="6"/>
      <c r="E41" s="6"/>
      <c r="F41" s="6"/>
      <c r="G41" s="6"/>
      <c r="H41" s="6"/>
      <c r="I41" s="6"/>
      <c r="J41" s="7" t="str">
        <f t="shared" si="1"/>
        <v/>
      </c>
      <c r="K41" s="6"/>
      <c r="L41" s="6"/>
      <c r="M41" s="6"/>
      <c r="N41" s="6"/>
      <c r="O41" s="5"/>
    </row>
    <row r="42" spans="1:15" x14ac:dyDescent="0.3">
      <c r="A42" s="5"/>
      <c r="B42" s="6"/>
      <c r="C42" s="6"/>
      <c r="D42" s="6"/>
      <c r="E42" s="6"/>
      <c r="F42" s="6"/>
      <c r="G42" s="6"/>
      <c r="H42" s="6"/>
      <c r="I42" s="6"/>
      <c r="J42" s="7" t="str">
        <f t="shared" si="1"/>
        <v/>
      </c>
      <c r="K42" s="6"/>
      <c r="L42" s="6"/>
      <c r="M42" s="6"/>
      <c r="N42" s="6"/>
      <c r="O42" s="5"/>
    </row>
    <row r="43" spans="1:15" x14ac:dyDescent="0.3">
      <c r="A43" s="5"/>
      <c r="B43" s="6"/>
      <c r="C43" s="6"/>
      <c r="D43" s="6"/>
      <c r="E43" s="6"/>
      <c r="F43" s="6"/>
      <c r="G43" s="6"/>
      <c r="H43" s="6"/>
      <c r="I43" s="6"/>
      <c r="J43" s="7" t="str">
        <f t="shared" si="1"/>
        <v/>
      </c>
      <c r="K43" s="6"/>
      <c r="L43" s="6"/>
      <c r="M43" s="6"/>
      <c r="N43" s="6"/>
      <c r="O43" s="5"/>
    </row>
    <row r="44" spans="1:15" x14ac:dyDescent="0.3">
      <c r="A44" s="5"/>
      <c r="B44" s="6"/>
      <c r="C44" s="6"/>
      <c r="D44" s="6"/>
      <c r="E44" s="6"/>
      <c r="F44" s="6"/>
      <c r="G44" s="6"/>
      <c r="H44" s="6"/>
      <c r="I44" s="6"/>
      <c r="J44" s="7" t="str">
        <f t="shared" si="1"/>
        <v/>
      </c>
      <c r="K44" s="6"/>
      <c r="L44" s="6"/>
      <c r="M44" s="6"/>
      <c r="N44" s="6"/>
      <c r="O44" s="5"/>
    </row>
    <row r="45" spans="1:15" x14ac:dyDescent="0.3">
      <c r="A45" s="5"/>
      <c r="B45" s="6"/>
      <c r="C45" s="6"/>
      <c r="D45" s="6"/>
      <c r="E45" s="6"/>
      <c r="F45" s="6"/>
      <c r="G45" s="6"/>
      <c r="H45" s="6"/>
      <c r="I45" s="6"/>
      <c r="J45" s="7" t="str">
        <f t="shared" si="1"/>
        <v/>
      </c>
      <c r="K45" s="6"/>
      <c r="L45" s="6"/>
      <c r="M45" s="6"/>
      <c r="N45" s="6"/>
      <c r="O45" s="5"/>
    </row>
    <row r="46" spans="1:15" x14ac:dyDescent="0.3">
      <c r="A46" s="5"/>
      <c r="B46" s="6"/>
      <c r="C46" s="6"/>
      <c r="D46" s="6"/>
      <c r="E46" s="6"/>
      <c r="F46" s="6"/>
      <c r="G46" s="6"/>
      <c r="H46" s="6"/>
      <c r="I46" s="6"/>
      <c r="J46" s="7" t="str">
        <f t="shared" si="1"/>
        <v/>
      </c>
      <c r="K46" s="6"/>
      <c r="L46" s="6"/>
      <c r="M46" s="6"/>
      <c r="N46" s="6"/>
      <c r="O46" s="5"/>
    </row>
    <row r="47" spans="1:15" x14ac:dyDescent="0.3">
      <c r="A47" s="5"/>
      <c r="B47" s="6"/>
      <c r="C47" s="6"/>
      <c r="D47" s="6"/>
      <c r="E47" s="6"/>
      <c r="F47" s="6"/>
      <c r="G47" s="6"/>
      <c r="H47" s="6"/>
      <c r="I47" s="6"/>
      <c r="J47" s="7" t="str">
        <f t="shared" si="1"/>
        <v/>
      </c>
      <c r="K47" s="6"/>
      <c r="L47" s="6"/>
      <c r="M47" s="6"/>
      <c r="N47" s="6"/>
      <c r="O47" s="5"/>
    </row>
    <row r="48" spans="1:15" x14ac:dyDescent="0.3">
      <c r="A48" s="5"/>
      <c r="B48" s="6"/>
      <c r="C48" s="6"/>
      <c r="D48" s="6"/>
      <c r="E48" s="6"/>
      <c r="F48" s="6"/>
      <c r="G48" s="6"/>
      <c r="H48" s="6"/>
      <c r="I48" s="6"/>
      <c r="J48" s="7" t="str">
        <f t="shared" si="1"/>
        <v/>
      </c>
      <c r="K48" s="6"/>
      <c r="L48" s="6"/>
      <c r="M48" s="6"/>
      <c r="N48" s="6"/>
      <c r="O48" s="5"/>
    </row>
    <row r="49" spans="1:15" x14ac:dyDescent="0.3">
      <c r="A49" s="5"/>
      <c r="B49" s="6"/>
      <c r="C49" s="6"/>
      <c r="D49" s="6"/>
      <c r="E49" s="6"/>
      <c r="F49" s="6"/>
      <c r="G49" s="6"/>
      <c r="H49" s="6"/>
      <c r="I49" s="6"/>
      <c r="J49" s="7" t="str">
        <f t="shared" si="1"/>
        <v/>
      </c>
      <c r="K49" s="6"/>
      <c r="L49" s="6"/>
      <c r="M49" s="6"/>
      <c r="N49" s="6"/>
      <c r="O49" s="5"/>
    </row>
    <row r="50" spans="1:15" x14ac:dyDescent="0.3">
      <c r="A50" s="5"/>
      <c r="B50" s="6"/>
      <c r="C50" s="6"/>
      <c r="D50" s="6"/>
      <c r="E50" s="6"/>
      <c r="F50" s="6"/>
      <c r="G50" s="6"/>
      <c r="H50" s="6"/>
      <c r="I50" s="6"/>
      <c r="J50" s="7" t="str">
        <f t="shared" si="1"/>
        <v/>
      </c>
      <c r="K50" s="6"/>
      <c r="L50" s="6"/>
      <c r="M50" s="6"/>
      <c r="N50" s="6"/>
      <c r="O50" s="5"/>
    </row>
    <row r="51" spans="1:15" x14ac:dyDescent="0.3">
      <c r="A51" s="5"/>
      <c r="B51" s="6"/>
      <c r="C51" s="6"/>
      <c r="D51" s="6"/>
      <c r="E51" s="6"/>
      <c r="F51" s="6"/>
      <c r="G51" s="6"/>
      <c r="H51" s="6"/>
      <c r="I51" s="6"/>
      <c r="J51" s="7" t="str">
        <f t="shared" si="1"/>
        <v/>
      </c>
      <c r="K51" s="6"/>
      <c r="L51" s="6"/>
      <c r="M51" s="6"/>
      <c r="N51" s="6"/>
      <c r="O51" s="5"/>
    </row>
    <row r="52" spans="1:15" x14ac:dyDescent="0.3">
      <c r="A52" s="5"/>
      <c r="B52" s="6"/>
      <c r="C52" s="6"/>
      <c r="D52" s="6"/>
      <c r="E52" s="6"/>
      <c r="F52" s="6"/>
      <c r="G52" s="6"/>
      <c r="H52" s="6"/>
      <c r="I52" s="6"/>
      <c r="J52" s="7" t="str">
        <f t="shared" si="1"/>
        <v/>
      </c>
      <c r="K52" s="6"/>
      <c r="L52" s="6"/>
      <c r="M52" s="6"/>
      <c r="N52" s="6"/>
      <c r="O52" s="5"/>
    </row>
    <row r="53" spans="1:15" x14ac:dyDescent="0.3">
      <c r="A53" s="5"/>
      <c r="B53" s="6"/>
      <c r="C53" s="6"/>
      <c r="D53" s="6"/>
      <c r="E53" s="6"/>
      <c r="F53" s="6"/>
      <c r="G53" s="6"/>
      <c r="H53" s="6"/>
      <c r="I53" s="6"/>
      <c r="J53" s="7" t="str">
        <f t="shared" si="1"/>
        <v/>
      </c>
      <c r="K53" s="6"/>
      <c r="L53" s="6"/>
      <c r="M53" s="6"/>
      <c r="N53" s="6"/>
      <c r="O53" s="5"/>
    </row>
    <row r="54" spans="1:15" x14ac:dyDescent="0.3">
      <c r="A54" s="5"/>
      <c r="B54" s="6"/>
      <c r="C54" s="6"/>
      <c r="D54" s="6"/>
      <c r="E54" s="6"/>
      <c r="F54" s="6"/>
      <c r="G54" s="6"/>
      <c r="H54" s="6"/>
      <c r="I54" s="6"/>
      <c r="J54" s="7" t="str">
        <f t="shared" si="1"/>
        <v/>
      </c>
      <c r="K54" s="6"/>
      <c r="L54" s="6"/>
      <c r="M54" s="6"/>
      <c r="N54" s="6"/>
      <c r="O54" s="5"/>
    </row>
    <row r="55" spans="1:15" x14ac:dyDescent="0.3">
      <c r="A55" s="5"/>
      <c r="B55" s="6"/>
      <c r="C55" s="6"/>
      <c r="D55" s="6"/>
      <c r="E55" s="6"/>
      <c r="F55" s="6"/>
      <c r="G55" s="6"/>
      <c r="H55" s="6"/>
      <c r="I55" s="6"/>
      <c r="J55" s="7" t="str">
        <f t="shared" si="1"/>
        <v/>
      </c>
      <c r="K55" s="6"/>
      <c r="L55" s="6"/>
      <c r="M55" s="6"/>
      <c r="N55" s="6"/>
      <c r="O55" s="5"/>
    </row>
    <row r="56" spans="1:15" x14ac:dyDescent="0.3">
      <c r="A56" s="5"/>
      <c r="B56" s="6"/>
      <c r="C56" s="6"/>
      <c r="D56" s="6"/>
      <c r="E56" s="6"/>
      <c r="F56" s="6"/>
      <c r="G56" s="6"/>
      <c r="H56" s="6"/>
      <c r="I56" s="6"/>
      <c r="J56" s="7" t="str">
        <f t="shared" si="1"/>
        <v/>
      </c>
      <c r="K56" s="6"/>
      <c r="L56" s="6"/>
      <c r="M56" s="6"/>
      <c r="N56" s="6"/>
      <c r="O56" s="5"/>
    </row>
    <row r="57" spans="1:15" x14ac:dyDescent="0.3">
      <c r="A57" s="5"/>
      <c r="B57" s="6"/>
      <c r="C57" s="6"/>
      <c r="D57" s="6"/>
      <c r="E57" s="6"/>
      <c r="F57" s="6"/>
      <c r="G57" s="6"/>
      <c r="H57" s="6"/>
      <c r="I57" s="6"/>
      <c r="J57" s="7" t="str">
        <f t="shared" si="1"/>
        <v/>
      </c>
      <c r="K57" s="6"/>
      <c r="L57" s="6"/>
      <c r="M57" s="6"/>
      <c r="N57" s="6"/>
      <c r="O57" s="5"/>
    </row>
    <row r="58" spans="1:15" x14ac:dyDescent="0.3">
      <c r="A58" s="5"/>
      <c r="B58" s="6"/>
      <c r="C58" s="6"/>
      <c r="D58" s="6"/>
      <c r="E58" s="6"/>
      <c r="F58" s="6"/>
      <c r="G58" s="6"/>
      <c r="H58" s="6"/>
      <c r="I58" s="6"/>
      <c r="J58" s="7" t="str">
        <f t="shared" si="1"/>
        <v/>
      </c>
      <c r="K58" s="6"/>
      <c r="L58" s="6"/>
      <c r="M58" s="6"/>
      <c r="N58" s="6"/>
      <c r="O58" s="5"/>
    </row>
    <row r="59" spans="1:15" x14ac:dyDescent="0.3">
      <c r="A59" s="5"/>
      <c r="B59" s="6"/>
      <c r="C59" s="6"/>
      <c r="D59" s="6"/>
      <c r="E59" s="6"/>
      <c r="F59" s="6"/>
      <c r="G59" s="6"/>
      <c r="H59" s="6"/>
      <c r="I59" s="6"/>
      <c r="J59" s="7" t="str">
        <f t="shared" si="1"/>
        <v/>
      </c>
      <c r="K59" s="6"/>
      <c r="L59" s="6"/>
      <c r="M59" s="6"/>
      <c r="N59" s="6"/>
      <c r="O59" s="5"/>
    </row>
    <row r="60" spans="1:15" x14ac:dyDescent="0.3">
      <c r="A60" s="5"/>
      <c r="B60" s="6"/>
      <c r="C60" s="6"/>
      <c r="D60" s="6"/>
      <c r="E60" s="6"/>
      <c r="F60" s="6"/>
      <c r="G60" s="6"/>
      <c r="H60" s="6"/>
      <c r="I60" s="6"/>
      <c r="J60" s="7" t="str">
        <f t="shared" si="1"/>
        <v/>
      </c>
      <c r="K60" s="6"/>
      <c r="L60" s="6"/>
      <c r="M60" s="6"/>
      <c r="N60" s="6"/>
      <c r="O60" s="5"/>
    </row>
  </sheetData>
  <autoFilter ref="A4:O60" xr:uid="{00000000-0009-0000-0000-000000000000}"/>
  <mergeCells count="2">
    <mergeCell ref="A1:O1"/>
    <mergeCell ref="A2:O2"/>
  </mergeCells>
  <conditionalFormatting sqref="F5:G60">
    <cfRule type="cellIs" dxfId="7" priority="2" operator="equal">
      <formula>"Hög"</formula>
    </cfRule>
    <cfRule type="cellIs" dxfId="6" priority="3" operator="equal">
      <formula>"Medel"</formula>
    </cfRule>
    <cfRule type="cellIs" dxfId="5" priority="4" operator="equal">
      <formula>"Låg"</formula>
    </cfRule>
  </conditionalFormatting>
  <conditionalFormatting sqref="I5:I60">
    <cfRule type="cellIs" dxfId="4" priority="8" operator="equal">
      <formula>"Öppet nu"</formula>
    </cfRule>
    <cfRule type="cellIs" dxfId="3" priority="9" operator="equal">
      <formula>"Snart"</formula>
    </cfRule>
  </conditionalFormatting>
  <conditionalFormatting sqref="J5:K60">
    <cfRule type="cellIs" dxfId="2" priority="10" operator="equal">
      <formula>"Ta upp nu"</formula>
    </cfRule>
    <cfRule type="cellIs" dxfId="1" priority="11" operator="equal">
      <formula>"Bevaka fönster"</formula>
    </cfRule>
    <cfRule type="cellIs" dxfId="0" priority="12" operator="equal">
      <formula>"Bevaka"</formula>
    </cfRule>
  </conditionalFormatting>
  <dataValidations count="4">
    <dataValidation type="list" allowBlank="1" sqref="E5:E60" xr:uid="{00000000-0002-0000-0000-000000000000}">
      <formula1>"1 Cirkulärt,2 Mobilitet,3 Samspel,Tvärgående"</formula1>
      <formula2>0</formula2>
    </dataValidation>
    <dataValidation type="list" allowBlank="1" sqref="F5:G60" xr:uid="{00000000-0002-0000-0000-000001000000}">
      <formula1>"Hög,Medel,Låg"</formula1>
      <formula2>0</formula2>
    </dataValidation>
    <dataValidation type="list" allowBlank="1" sqref="I5:I60" xr:uid="{00000000-0002-0000-0000-000002000000}">
      <formula1>"Öppet nu,Snart,Stängt,Vet ej"</formula1>
      <formula2>0</formula2>
    </dataValidation>
    <dataValidation type="list" allowBlank="1" sqref="K5:K60" xr:uid="{00000000-0002-0000-0000-000003000000}">
      <formula1>"Ta upp nu,Bevaka,Parkera,Klar"</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zoomScaleNormal="100" workbookViewId="0">
      <selection activeCell="C5" sqref="C5"/>
    </sheetView>
  </sheetViews>
  <sheetFormatPr defaultColWidth="8.69921875" defaultRowHeight="14" x14ac:dyDescent="0.3"/>
  <cols>
    <col min="1" max="1" width="12.69921875" customWidth="1"/>
    <col min="2" max="2" width="38.296875" customWidth="1"/>
    <col min="3" max="3" width="35.3984375" customWidth="1"/>
    <col min="4" max="4" width="35" customWidth="1"/>
    <col min="5" max="5" width="34.19921875" customWidth="1"/>
  </cols>
  <sheetData>
    <row r="1" spans="1:6" ht="17.75" x14ac:dyDescent="0.35">
      <c r="A1" s="3" t="s">
        <v>24</v>
      </c>
    </row>
    <row r="2" spans="1:6" x14ac:dyDescent="0.3">
      <c r="A2" s="1" t="s">
        <v>25</v>
      </c>
      <c r="B2" s="1"/>
      <c r="C2" s="1"/>
      <c r="D2" s="1"/>
      <c r="E2" s="1"/>
      <c r="F2" s="1"/>
    </row>
    <row r="4" spans="1:6" x14ac:dyDescent="0.3">
      <c r="A4" s="8" t="s">
        <v>26</v>
      </c>
      <c r="B4" s="9" t="s">
        <v>18</v>
      </c>
      <c r="C4" s="9" t="s">
        <v>20</v>
      </c>
      <c r="D4" s="9" t="s">
        <v>23</v>
      </c>
      <c r="E4" s="9" t="s">
        <v>22</v>
      </c>
    </row>
    <row r="5" spans="1:6" ht="299.95" customHeight="1" x14ac:dyDescent="0.3">
      <c r="A5" s="10" t="s">
        <v>17</v>
      </c>
      <c r="B5" s="11" t="str">
        <f t="array" ref="B5">_xlfn.TEXTJOIN(CHAR(10),TRUE(),IF((Logg!$F$5:$F$60=$A5)*(Logg!$I$5:$I$60=B$4),Logg!$A$5:$A$60&amp;" "&amp;Logg!$B$5:$B$60&amp;IF(Logg!$G$5:$G$60="Låg"," *",""),""))</f>
        <v/>
      </c>
      <c r="C5" s="12" t="str">
        <f t="array" ref="C5">_xlfn.TEXTJOIN(CHAR(10),TRUE(),IF((Logg!$F$5:$F$60=$A5)*(Logg!$I$5:$I$60=C$4),Logg!$A$5:$A$60&amp;" "&amp;Logg!$B$5:$B$60&amp;IF(Logg!$G$5:$G$60="Låg"," *",""),""))</f>
        <v/>
      </c>
      <c r="D5" s="12" t="str">
        <f t="array" ref="D5">_xlfn.TEXTJOIN(CHAR(10),TRUE(),IF((Logg!$F$5:$F$60=$A5)*(Logg!$I$5:$I$60=D$4),Logg!$A$5:$A$60&amp;" "&amp;Logg!$B$5:$B$60&amp;IF(Logg!$G$5:$G$60="Låg"," *",""),""))</f>
        <v/>
      </c>
      <c r="E5" s="12" t="str">
        <f t="array" ref="E5">_xlfn.TEXTJOIN(CHAR(10),TRUE(),IF((Logg!$F$5:$F$60=$A5)*(Logg!$I$5:$I$60=E$4),Logg!$A$5:$A$60&amp;" "&amp;Logg!$B$5:$B$60&amp;IF(Logg!$G$5:$G$60="Låg"," *",""),""))</f>
        <v/>
      </c>
    </row>
    <row r="6" spans="1:6" ht="299.95" customHeight="1" x14ac:dyDescent="0.3">
      <c r="A6" s="10" t="s">
        <v>19</v>
      </c>
      <c r="B6" s="12" t="str">
        <f t="array" ref="B6">_xlfn.TEXTJOIN(CHAR(10),TRUE(),IF((Logg!$F$5:$F$60=$A6)*(Logg!$I$5:$I$60=B$4),Logg!$A$5:$A$60&amp;" "&amp;Logg!$B$5:$B$60&amp;IF(Logg!$G$5:$G$60="Låg"," *",""),""))</f>
        <v/>
      </c>
      <c r="C6" s="12" t="str">
        <f t="array" ref="C6">_xlfn.TEXTJOIN(CHAR(10),TRUE(),IF((Logg!$F$5:$F$60=$A6)*(Logg!$I$5:$I$60=C$4),Logg!$A$5:$A$60&amp;" "&amp;Logg!$B$5:$B$60&amp;IF(Logg!$G$5:$G$60="Låg"," *",""),""))</f>
        <v/>
      </c>
      <c r="D6" s="12" t="str">
        <f t="array" ref="D6">_xlfn.TEXTJOIN(CHAR(10),TRUE(),IF((Logg!$F$5:$F$60=$A6)*(Logg!$I$5:$I$60=D$4),Logg!$A$5:$A$60&amp;" "&amp;Logg!$B$5:$B$60&amp;IF(Logg!$G$5:$G$60="Låg"," *",""),""))</f>
        <v/>
      </c>
      <c r="E6" s="12" t="str">
        <f t="array" ref="E6">_xlfn.TEXTJOIN(CHAR(10),TRUE(),IF((Logg!$F$5:$F$60=$A6)*(Logg!$I$5:$I$60=E$4),Logg!$A$5:$A$60&amp;" "&amp;Logg!$B$5:$B$60&amp;IF(Logg!$G$5:$G$60="Låg"," *",""),""))</f>
        <v/>
      </c>
    </row>
    <row r="7" spans="1:6" ht="60.05" customHeight="1" x14ac:dyDescent="0.3">
      <c r="A7" s="10" t="s">
        <v>21</v>
      </c>
      <c r="B7" s="12" t="str">
        <f t="array" ref="B7">_xlfn.TEXTJOIN(CHAR(10),TRUE(),IF((Logg!$F$5:$F$60=$A7)*(Logg!$I$5:$I$60=B$4),Logg!$A$5:$A$60&amp;" "&amp;Logg!$B$5:$B$60&amp;IF(Logg!$G$5:$G$60="Låg"," *",""),""))</f>
        <v/>
      </c>
      <c r="C7" s="12" t="str">
        <f t="array" ref="C7">_xlfn.TEXTJOIN(CHAR(10),TRUE(),IF((Logg!$F$5:$F$60=$A7)*(Logg!$I$5:$I$60=C$4),Logg!$A$5:$A$60&amp;" "&amp;Logg!$B$5:$B$60&amp;IF(Logg!$G$5:$G$60="Låg"," *",""),""))</f>
        <v/>
      </c>
      <c r="D7" s="12" t="str">
        <f t="array" ref="D7">_xlfn.TEXTJOIN(CHAR(10),TRUE(),IF((Logg!$F$5:$F$60=$A7)*(Logg!$I$5:$I$60=D$4),Logg!$A$5:$A$60&amp;" "&amp;Logg!$B$5:$B$60&amp;IF(Logg!$G$5:$G$60="Låg"," *",""),""))</f>
        <v/>
      </c>
      <c r="E7" s="12" t="str">
        <f t="array" ref="E7">_xlfn.TEXTJOIN(CHAR(10),TRUE(),IF((Logg!$F$5:$F$60=$A7)*(Logg!$I$5:$I$60=E$4),Logg!$A$5:$A$60&amp;" "&amp;Logg!$B$5:$B$60&amp;IF(Logg!$G$5:$G$60="Låg"," *",""),""))</f>
        <v/>
      </c>
    </row>
  </sheetData>
  <mergeCells count="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topLeftCell="A6" zoomScaleNormal="100" workbookViewId="0"/>
  </sheetViews>
  <sheetFormatPr defaultColWidth="8.69921875" defaultRowHeight="14" x14ac:dyDescent="0.3"/>
  <cols>
    <col min="1" max="1" width="26" customWidth="1"/>
    <col min="2" max="2" width="100" customWidth="1"/>
  </cols>
  <sheetData>
    <row r="1" spans="1:2" ht="35.5" x14ac:dyDescent="0.3">
      <c r="A1" s="13" t="s">
        <v>27</v>
      </c>
    </row>
    <row r="2" spans="1:2" ht="33.75" customHeight="1" x14ac:dyDescent="0.3">
      <c r="A2" s="14" t="s">
        <v>28</v>
      </c>
      <c r="B2" s="15" t="s">
        <v>29</v>
      </c>
    </row>
    <row r="3" spans="1:2" ht="33.75" customHeight="1" x14ac:dyDescent="0.3">
      <c r="A3" s="14" t="s">
        <v>30</v>
      </c>
      <c r="B3" s="15" t="s">
        <v>31</v>
      </c>
    </row>
    <row r="4" spans="1:2" ht="18.8" customHeight="1" x14ac:dyDescent="0.3">
      <c r="A4" s="14" t="s">
        <v>7</v>
      </c>
      <c r="B4" s="15" t="s">
        <v>32</v>
      </c>
    </row>
    <row r="5" spans="1:2" ht="18.8" customHeight="1" x14ac:dyDescent="0.3">
      <c r="A5" s="14" t="s">
        <v>8</v>
      </c>
      <c r="B5" s="15" t="s">
        <v>33</v>
      </c>
    </row>
    <row r="6" spans="1:2" ht="60.2" customHeight="1" x14ac:dyDescent="0.3">
      <c r="A6" s="14" t="s">
        <v>34</v>
      </c>
      <c r="B6" s="15" t="s">
        <v>35</v>
      </c>
    </row>
    <row r="7" spans="1:2" ht="31.7" customHeight="1" x14ac:dyDescent="0.3">
      <c r="A7" s="14" t="s">
        <v>11</v>
      </c>
      <c r="B7" s="15" t="s">
        <v>36</v>
      </c>
    </row>
    <row r="8" spans="1:2" ht="33.75" customHeight="1" x14ac:dyDescent="0.3">
      <c r="A8" s="14" t="s">
        <v>12</v>
      </c>
      <c r="B8" s="15" t="s">
        <v>37</v>
      </c>
    </row>
    <row r="9" spans="1:2" ht="48.8" customHeight="1" x14ac:dyDescent="0.3">
      <c r="A9" s="14" t="s">
        <v>14</v>
      </c>
      <c r="B9" s="15" t="s">
        <v>38</v>
      </c>
    </row>
    <row r="10" spans="1:2" ht="33.75" customHeight="1" x14ac:dyDescent="0.3">
      <c r="A10" s="14" t="s">
        <v>39</v>
      </c>
      <c r="B10" s="15" t="s">
        <v>40</v>
      </c>
    </row>
    <row r="11" spans="1:2" ht="33.75" customHeight="1" x14ac:dyDescent="0.3">
      <c r="A11" s="14" t="s">
        <v>41</v>
      </c>
      <c r="B11" s="15" t="s">
        <v>42</v>
      </c>
    </row>
    <row r="12" spans="1:2" ht="48.8" customHeight="1" x14ac:dyDescent="0.3">
      <c r="A12" s="14"/>
      <c r="B12" s="15"/>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Kalkylblad</vt:lpstr>
      </vt:variant>
      <vt:variant>
        <vt:i4>3</vt:i4>
      </vt:variant>
    </vt:vector>
  </HeadingPairs>
  <TitlesOfParts>
    <vt:vector size="3" baseType="lpstr">
      <vt:lpstr>Logg</vt:lpstr>
      <vt:lpstr>Översikt</vt:lpstr>
      <vt:lpstr>Så använder vi loggen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Engströms Mickla AB</dc:creator>
  <dc:description/>
  <cp:lastModifiedBy>Engströms Mickla AB</cp:lastModifiedBy>
  <cp:revision>0</cp:revision>
  <dcterms:created xsi:type="dcterms:W3CDTF">2026-10-02T09:32:03Z</dcterms:created>
  <dcterms:modified xsi:type="dcterms:W3CDTF">2026-10-07T11:59:00Z</dcterms:modified>
  <dc:language>en-US</dc:language>
</cp:coreProperties>
</file>